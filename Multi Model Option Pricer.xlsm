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ki\OneDrive\Bureau\"/>
    </mc:Choice>
  </mc:AlternateContent>
  <xr:revisionPtr revIDLastSave="0" documentId="13_ncr:1_{40EAB9CD-2F89-43D9-9451-C7B40040E8EF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Rate" sheetId="1" r:id="rId1"/>
    <sheet name="B&amp;S" sheetId="2" r:id="rId2"/>
    <sheet name="B&amp;S Graphs" sheetId="12" r:id="rId3"/>
    <sheet name="CN" sheetId="6" r:id="rId4"/>
    <sheet name="CN Graphs" sheetId="11" r:id="rId5"/>
    <sheet name="BIN" sheetId="4" r:id="rId6"/>
    <sheet name="BIN Graphs" sheetId="7" r:id="rId7"/>
    <sheet name="MC" sheetId="5" r:id="rId8"/>
    <sheet name="MC Graphs" sheetId="8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" i="8" l="1"/>
  <c r="A22" i="8" s="1"/>
  <c r="A23" i="8" s="1"/>
  <c r="A24" i="8" s="1"/>
  <c r="A25" i="8" s="1"/>
  <c r="A26" i="8" s="1"/>
  <c r="A27" i="8" s="1"/>
  <c r="A28" i="8" s="1"/>
  <c r="A29" i="8" s="1"/>
  <c r="A30" i="8" s="1"/>
  <c r="A20" i="8"/>
  <c r="A21" i="7"/>
  <c r="A22" i="7" s="1"/>
  <c r="A23" i="7" s="1"/>
  <c r="A24" i="7" s="1"/>
  <c r="A25" i="7" s="1"/>
  <c r="A26" i="7" s="1"/>
  <c r="A27" i="7" s="1"/>
  <c r="A28" i="7" s="1"/>
  <c r="A29" i="7" s="1"/>
  <c r="A30" i="7" s="1"/>
  <c r="A20" i="7"/>
  <c r="B6" i="8"/>
  <c r="B6" i="7"/>
  <c r="A20" i="1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B6" i="11"/>
  <c r="A15" i="12"/>
  <c r="A16" i="12" s="1"/>
  <c r="A17" i="12" s="1"/>
  <c r="A18" i="12" s="1"/>
  <c r="A19" i="12" s="1"/>
  <c r="A20" i="12" s="1"/>
  <c r="A21" i="12" s="1"/>
  <c r="A22" i="12" s="1"/>
  <c r="A23" i="12" s="1"/>
  <c r="A14" i="12"/>
  <c r="A13" i="12"/>
  <c r="B6" i="5"/>
  <c r="E6" i="2" a="1"/>
  <c r="E21" i="12" a="1"/>
  <c r="C22" i="12" a="1"/>
  <c r="B21" i="12" a="1"/>
  <c r="B20" i="12" a="1"/>
  <c r="F14" i="12" a="1"/>
  <c r="E15" i="12" a="1"/>
  <c r="C15" i="12" a="1"/>
  <c r="B22" i="12" a="1"/>
  <c r="F21" i="12" a="1"/>
  <c r="E22" i="12" a="1"/>
  <c r="C16" i="12" a="1"/>
  <c r="B19" i="12" a="1"/>
  <c r="F22" i="12" a="1"/>
  <c r="F19" i="12" a="1"/>
  <c r="E16" i="12" a="1"/>
  <c r="C23" i="12" a="1"/>
  <c r="B18" i="12" a="1"/>
  <c r="E13" i="12" a="1"/>
  <c r="F17" i="12" a="1"/>
  <c r="F15" i="12" a="1"/>
  <c r="E23" i="12" a="1"/>
  <c r="C17" i="12" a="1"/>
  <c r="B16" i="12" a="1"/>
  <c r="E19" i="12" a="1"/>
  <c r="F20" i="12" a="1"/>
  <c r="E17" i="12" a="1"/>
  <c r="C18" i="12" a="1"/>
  <c r="F13" i="12" a="1"/>
  <c r="F16" i="12" a="1"/>
  <c r="E20" i="12" a="1"/>
  <c r="B14" i="12" a="1"/>
  <c r="C13" i="12" a="1"/>
  <c r="E18" i="12" a="1"/>
  <c r="B13" i="12" a="1"/>
  <c r="F23" i="12" a="1"/>
  <c r="F18" i="12" a="1"/>
  <c r="C14" i="12" a="1"/>
  <c r="B15" i="12" a="1"/>
  <c r="E4" i="2" a="1"/>
  <c r="C20" i="12" a="1"/>
  <c r="E14" i="12" a="1"/>
  <c r="C21" i="12" a="1"/>
  <c r="B23" i="12" a="1"/>
  <c r="C19" i="12" a="1"/>
  <c r="B17" i="12" a="1"/>
  <c r="J21" i="8" a="1"/>
  <c r="I28" i="8" a="1"/>
  <c r="H27" i="8" a="1"/>
  <c r="G29" i="8" a="1"/>
  <c r="E24" i="8" a="1"/>
  <c r="C21" i="8" a="1"/>
  <c r="B28" i="8" a="1"/>
  <c r="E20" i="8" a="1"/>
  <c r="J27" i="7" a="1"/>
  <c r="E11" i="5" a="1"/>
  <c r="I6" i="5" a="1"/>
  <c r="G4" i="6" a="1"/>
  <c r="I27" i="8" a="1"/>
  <c r="E30" i="8" a="1"/>
  <c r="G30" i="8" a="1"/>
  <c r="J26" i="8" a="1"/>
  <c r="I20" i="8" a="1"/>
  <c r="J13" i="5" a="1"/>
  <c r="G28" i="8" a="1"/>
  <c r="G6" i="6" a="1"/>
  <c r="I4" i="5" a="1"/>
  <c r="J27" i="8" a="1"/>
  <c r="I23" i="8" a="1"/>
  <c r="H28" i="8" a="1"/>
  <c r="G24" i="8" a="1"/>
  <c r="E25" i="8" a="1"/>
  <c r="C22" i="8" a="1"/>
  <c r="B24" i="8" a="1"/>
  <c r="D20" i="8" a="1"/>
  <c r="J28" i="7" a="1"/>
  <c r="J20" i="7" a="1"/>
  <c r="E11" i="4" a="1"/>
  <c r="G11" i="5" a="1"/>
  <c r="D28" i="8" a="1"/>
  <c r="D23" i="8" a="1"/>
  <c r="C25" i="8" a="1"/>
  <c r="J24" i="7" a="1"/>
  <c r="H22" i="8" a="1"/>
  <c r="E29" i="8" a="1"/>
  <c r="J22" i="8" a="1"/>
  <c r="I29" i="8" a="1"/>
  <c r="H24" i="8" a="1"/>
  <c r="G25" i="8" a="1"/>
  <c r="D21" i="8" a="1"/>
  <c r="C28" i="8" a="1"/>
  <c r="B22" i="8" a="1"/>
  <c r="C20" i="8" a="1"/>
  <c r="J29" i="7" a="1"/>
  <c r="H11" i="5" a="1"/>
  <c r="G21" i="8" a="1"/>
  <c r="G4" i="5" a="1"/>
  <c r="C26" i="8" a="1"/>
  <c r="J23" i="8" a="1"/>
  <c r="J20" i="8" a="1"/>
  <c r="D26" i="8" a="1"/>
  <c r="J30" i="7" a="1"/>
  <c r="H23" i="8" a="1"/>
  <c r="B21" i="8" a="1"/>
  <c r="I22" i="8" a="1"/>
  <c r="B27" i="8" a="1"/>
  <c r="J26" i="7" a="1"/>
  <c r="J28" i="8" a="1"/>
  <c r="I30" i="8" a="1"/>
  <c r="H30" i="8" a="1"/>
  <c r="G26" i="8" a="1"/>
  <c r="D27" i="8" a="1"/>
  <c r="C23" i="8" a="1"/>
  <c r="B30" i="8" a="1"/>
  <c r="B20" i="8" a="1"/>
  <c r="E4" i="6" a="1"/>
  <c r="J6" i="5" a="1"/>
  <c r="H4" i="5" a="1"/>
  <c r="E28" i="8" a="1"/>
  <c r="I24" i="8" a="1"/>
  <c r="E6" i="5" a="1"/>
  <c r="H21" i="8" a="1"/>
  <c r="G22" i="8" a="1"/>
  <c r="E4" i="4" a="1"/>
  <c r="H20" i="8" a="1"/>
  <c r="G23" i="8" a="1"/>
  <c r="J29" i="8" a="1"/>
  <c r="I25" i="8" a="1"/>
  <c r="H26" i="8" a="1"/>
  <c r="E21" i="8" a="1"/>
  <c r="D22" i="8" a="1"/>
  <c r="C29" i="8" a="1"/>
  <c r="B23" i="8" a="1"/>
  <c r="E4" i="5" a="1"/>
  <c r="I13" i="5" a="1"/>
  <c r="J11" i="5" a="1"/>
  <c r="J30" i="8" a="1"/>
  <c r="B25" i="8" a="1"/>
  <c r="J22" i="7" a="1"/>
  <c r="K4" i="5" a="1"/>
  <c r="J25" i="8" a="1"/>
  <c r="J23" i="7" a="1"/>
  <c r="E22" i="8" a="1"/>
  <c r="G11" i="6" a="1"/>
  <c r="C27" i="8" a="1"/>
  <c r="G6" i="5" a="1"/>
  <c r="D29" i="8" a="1"/>
  <c r="G20" i="8" a="1"/>
  <c r="J24" i="8" a="1"/>
  <c r="I26" i="8" a="1"/>
  <c r="H25" i="8" a="1"/>
  <c r="E27" i="8" a="1"/>
  <c r="D25" i="8" a="1"/>
  <c r="C30" i="8" a="1"/>
  <c r="B29" i="8" a="1"/>
  <c r="J21" i="7" a="1"/>
  <c r="G13" i="5" a="1"/>
  <c r="E13" i="5" a="1"/>
  <c r="C24" i="8" a="1"/>
  <c r="G27" i="8" a="1"/>
  <c r="B26" i="8" a="1"/>
  <c r="K11" i="5" a="1"/>
  <c r="D30" i="8" a="1"/>
  <c r="J4" i="5" a="1"/>
  <c r="E23" i="8" a="1"/>
  <c r="I21" i="8" a="1"/>
  <c r="J25" i="7" a="1"/>
  <c r="D24" i="8" a="1"/>
  <c r="I11" i="5" a="1"/>
  <c r="H4" i="6" a="1"/>
  <c r="E26" i="8" a="1"/>
  <c r="H29" i="8" a="1"/>
  <c r="I21" i="7" a="1"/>
  <c r="I27" i="7" a="1"/>
  <c r="I22" i="7" a="1"/>
  <c r="I28" i="7" a="1"/>
  <c r="I23" i="7" a="1"/>
  <c r="I29" i="7" a="1"/>
  <c r="I24" i="7" a="1"/>
  <c r="I30" i="7" a="1"/>
  <c r="I25" i="7" a="1"/>
  <c r="I26" i="7" a="1"/>
  <c r="I20" i="7" a="1"/>
  <c r="H21" i="7" a="1"/>
  <c r="H27" i="7" a="1"/>
  <c r="H22" i="7" a="1"/>
  <c r="H29" i="7" a="1"/>
  <c r="H24" i="7" a="1"/>
  <c r="H26" i="7" a="1"/>
  <c r="H28" i="7" a="1"/>
  <c r="H23" i="7" a="1"/>
  <c r="H30" i="7" a="1"/>
  <c r="H25" i="7" a="1"/>
  <c r="H20" i="7" a="1"/>
  <c r="G21" i="7" a="1"/>
  <c r="G27" i="7" a="1"/>
  <c r="G28" i="7" a="1"/>
  <c r="G23" i="7" a="1"/>
  <c r="G29" i="7" a="1"/>
  <c r="G24" i="7" a="1"/>
  <c r="G25" i="7" a="1"/>
  <c r="G22" i="7" a="1"/>
  <c r="G30" i="7" a="1"/>
  <c r="G26" i="7" a="1"/>
  <c r="G20" i="7" a="1"/>
  <c r="E21" i="7" a="1"/>
  <c r="E27" i="7" a="1"/>
  <c r="E23" i="7" a="1"/>
  <c r="E28" i="7" a="1"/>
  <c r="E30" i="7" a="1"/>
  <c r="E25" i="7" a="1"/>
  <c r="E22" i="7" a="1"/>
  <c r="E29" i="7" a="1"/>
  <c r="E24" i="7" a="1"/>
  <c r="E26" i="7" a="1"/>
  <c r="E20" i="7" a="1"/>
  <c r="D21" i="7" a="1"/>
  <c r="D27" i="7" a="1"/>
  <c r="D23" i="7" a="1"/>
  <c r="D30" i="7" a="1"/>
  <c r="D25" i="7" a="1"/>
  <c r="D28" i="7" a="1"/>
  <c r="D22" i="7" a="1"/>
  <c r="D29" i="7" a="1"/>
  <c r="D24" i="7" a="1"/>
  <c r="D26" i="7" a="1"/>
  <c r="D20" i="7" a="1"/>
  <c r="C21" i="7" a="1"/>
  <c r="C27" i="7" a="1"/>
  <c r="C23" i="7" a="1"/>
  <c r="C30" i="7" a="1"/>
  <c r="C25" i="7" a="1"/>
  <c r="C26" i="7" a="1"/>
  <c r="C28" i="7" a="1"/>
  <c r="C22" i="7" a="1"/>
  <c r="C29" i="7" a="1"/>
  <c r="C24" i="7" a="1"/>
  <c r="C20" i="7" a="1"/>
  <c r="B21" i="7" a="1"/>
  <c r="B27" i="7" a="1"/>
  <c r="B22" i="7" a="1"/>
  <c r="B28" i="7" a="1"/>
  <c r="B23" i="7" a="1"/>
  <c r="B29" i="7" a="1"/>
  <c r="B24" i="7" a="1"/>
  <c r="B30" i="7" a="1"/>
  <c r="B25" i="7" a="1"/>
  <c r="B26" i="7" a="1"/>
  <c r="B20" i="7" a="1"/>
  <c r="B21" i="11" a="1"/>
  <c r="B27" i="11" a="1"/>
  <c r="B24" i="11" a="1"/>
  <c r="B28" i="11" a="1"/>
  <c r="B22" i="11" a="1"/>
  <c r="B29" i="11" a="1"/>
  <c r="B30" i="11" a="1"/>
  <c r="B23" i="11" a="1"/>
  <c r="B25" i="11" a="1"/>
  <c r="B26" i="11" a="1"/>
  <c r="B20" i="11" a="1"/>
  <c r="J21" i="11" a="1"/>
  <c r="J27" i="11" a="1"/>
  <c r="J22" i="11" a="1"/>
  <c r="J28" i="11" a="1"/>
  <c r="J25" i="11" a="1"/>
  <c r="J23" i="11" a="1"/>
  <c r="J29" i="11" a="1"/>
  <c r="J24" i="11" a="1"/>
  <c r="J30" i="11" a="1"/>
  <c r="J26" i="11" a="1"/>
  <c r="J20" i="11" a="1"/>
  <c r="I30" i="11" a="1"/>
  <c r="I29" i="11" a="1"/>
  <c r="I28" i="11" a="1"/>
  <c r="I27" i="11" a="1"/>
  <c r="I26" i="11" a="1"/>
  <c r="I25" i="11" a="1"/>
  <c r="I24" i="11" a="1"/>
  <c r="I23" i="11" a="1"/>
  <c r="I22" i="11" a="1"/>
  <c r="I21" i="11" a="1"/>
  <c r="I20" i="11" a="1"/>
  <c r="H29" i="11" a="1"/>
  <c r="H28" i="11" a="1"/>
  <c r="H27" i="11" a="1"/>
  <c r="H26" i="11" a="1"/>
  <c r="H25" i="11" a="1"/>
  <c r="H24" i="11" a="1"/>
  <c r="H23" i="11" a="1"/>
  <c r="H22" i="11" a="1"/>
  <c r="H21" i="11" a="1"/>
  <c r="H20" i="11" a="1"/>
  <c r="H30" i="11" a="1"/>
  <c r="G30" i="11" a="1"/>
  <c r="G29" i="11" a="1"/>
  <c r="G28" i="11" a="1"/>
  <c r="G27" i="11" a="1"/>
  <c r="G26" i="11" a="1"/>
  <c r="G25" i="11" a="1"/>
  <c r="G24" i="11" a="1"/>
  <c r="G23" i="11" a="1"/>
  <c r="G22" i="11" a="1"/>
  <c r="G21" i="11" a="1"/>
  <c r="G20" i="11" a="1"/>
  <c r="E30" i="11" a="1"/>
  <c r="E29" i="11" a="1"/>
  <c r="E28" i="11" a="1"/>
  <c r="E27" i="11" a="1"/>
  <c r="E26" i="11" a="1"/>
  <c r="E25" i="11" a="1"/>
  <c r="E24" i="11" a="1"/>
  <c r="E23" i="11" a="1"/>
  <c r="E22" i="11" a="1"/>
  <c r="E21" i="11" a="1"/>
  <c r="E20" i="11" a="1"/>
  <c r="D30" i="11" a="1"/>
  <c r="D29" i="11" a="1"/>
  <c r="D28" i="11" a="1"/>
  <c r="D27" i="11" a="1"/>
  <c r="D26" i="11" a="1"/>
  <c r="D25" i="11" a="1"/>
  <c r="D24" i="11" a="1"/>
  <c r="D23" i="11" a="1"/>
  <c r="D22" i="11" a="1"/>
  <c r="D21" i="11" a="1"/>
  <c r="D20" i="11" a="1"/>
  <c r="C30" i="11" a="1"/>
  <c r="C29" i="11" a="1"/>
  <c r="C28" i="11" a="1"/>
  <c r="C27" i="11" a="1"/>
  <c r="C26" i="11" a="1"/>
  <c r="C25" i="11" a="1"/>
  <c r="C24" i="11" a="1"/>
  <c r="C23" i="11" a="1"/>
  <c r="C22" i="11" a="1"/>
  <c r="C21" i="11" a="1"/>
  <c r="C20" i="11" a="1"/>
  <c r="I26" i="7" l="1"/>
  <c r="I25" i="7"/>
  <c r="I30" i="7"/>
  <c r="I24" i="7"/>
  <c r="I29" i="7"/>
  <c r="I23" i="7"/>
  <c r="I28" i="7"/>
  <c r="I22" i="7"/>
  <c r="I27" i="7"/>
  <c r="I21" i="7"/>
  <c r="I20" i="7"/>
  <c r="H25" i="7"/>
  <c r="H30" i="7"/>
  <c r="H23" i="7"/>
  <c r="H28" i="7"/>
  <c r="H26" i="7"/>
  <c r="H24" i="7"/>
  <c r="H29" i="7"/>
  <c r="H22" i="7"/>
  <c r="H27" i="7"/>
  <c r="H21" i="7"/>
  <c r="H20" i="7"/>
  <c r="G26" i="7"/>
  <c r="G30" i="7"/>
  <c r="G22" i="7"/>
  <c r="G25" i="7"/>
  <c r="G24" i="7"/>
  <c r="G29" i="7"/>
  <c r="G23" i="7"/>
  <c r="G28" i="7"/>
  <c r="G27" i="7"/>
  <c r="G21" i="7"/>
  <c r="G20" i="7"/>
  <c r="E26" i="7"/>
  <c r="E24" i="7"/>
  <c r="E29" i="7"/>
  <c r="E22" i="7"/>
  <c r="E25" i="7"/>
  <c r="E30" i="7"/>
  <c r="E28" i="7"/>
  <c r="E23" i="7"/>
  <c r="E27" i="7"/>
  <c r="E21" i="7"/>
  <c r="E20" i="7"/>
  <c r="D26" i="7"/>
  <c r="D24" i="7"/>
  <c r="D29" i="7"/>
  <c r="D22" i="7"/>
  <c r="D28" i="7"/>
  <c r="D25" i="7"/>
  <c r="D30" i="7"/>
  <c r="D23" i="7"/>
  <c r="D27" i="7"/>
  <c r="D21" i="7"/>
  <c r="D20" i="7"/>
  <c r="C24" i="7"/>
  <c r="C29" i="7"/>
  <c r="C22" i="7"/>
  <c r="C28" i="7"/>
  <c r="C26" i="7"/>
  <c r="C25" i="7"/>
  <c r="C30" i="7"/>
  <c r="C23" i="7"/>
  <c r="C27" i="7"/>
  <c r="C21" i="7"/>
  <c r="C20" i="7"/>
  <c r="B26" i="7"/>
  <c r="B25" i="7"/>
  <c r="B30" i="7"/>
  <c r="B24" i="7"/>
  <c r="B29" i="7"/>
  <c r="B23" i="7"/>
  <c r="B28" i="7"/>
  <c r="B22" i="7"/>
  <c r="B27" i="7"/>
  <c r="B21" i="7"/>
  <c r="B20" i="7"/>
  <c r="B26" i="11"/>
  <c r="B25" i="11"/>
  <c r="B23" i="11"/>
  <c r="B30" i="11"/>
  <c r="B29" i="11"/>
  <c r="B22" i="11"/>
  <c r="B28" i="11"/>
  <c r="B24" i="11"/>
  <c r="B27" i="11"/>
  <c r="B21" i="11"/>
  <c r="B20" i="11"/>
  <c r="J26" i="11"/>
  <c r="J30" i="11"/>
  <c r="J24" i="11"/>
  <c r="J29" i="11"/>
  <c r="J23" i="11"/>
  <c r="J25" i="11"/>
  <c r="J28" i="11"/>
  <c r="J22" i="11"/>
  <c r="J27" i="11"/>
  <c r="J21" i="11"/>
  <c r="J20" i="11"/>
  <c r="I30" i="11"/>
  <c r="I29" i="11"/>
  <c r="I28" i="11"/>
  <c r="I27" i="11"/>
  <c r="I26" i="11"/>
  <c r="I25" i="11"/>
  <c r="I24" i="11"/>
  <c r="I23" i="11"/>
  <c r="I22" i="11"/>
  <c r="I21" i="11"/>
  <c r="I20" i="11"/>
  <c r="H29" i="11"/>
  <c r="H28" i="11"/>
  <c r="H27" i="11"/>
  <c r="H26" i="11"/>
  <c r="H25" i="11"/>
  <c r="H24" i="11"/>
  <c r="H23" i="11"/>
  <c r="H22" i="11"/>
  <c r="H21" i="11"/>
  <c r="H20" i="11"/>
  <c r="H30" i="11"/>
  <c r="G30" i="11"/>
  <c r="G29" i="11"/>
  <c r="G28" i="11"/>
  <c r="G27" i="11"/>
  <c r="G26" i="11"/>
  <c r="G25" i="11"/>
  <c r="G24" i="11"/>
  <c r="G23" i="11"/>
  <c r="G22" i="11"/>
  <c r="G21" i="11"/>
  <c r="G20" i="11"/>
  <c r="E30" i="11"/>
  <c r="E29" i="11"/>
  <c r="E28" i="11"/>
  <c r="E27" i="11"/>
  <c r="E26" i="11"/>
  <c r="E25" i="11"/>
  <c r="E24" i="11"/>
  <c r="E23" i="11"/>
  <c r="E22" i="11"/>
  <c r="E21" i="11"/>
  <c r="E20" i="11"/>
  <c r="D30" i="11"/>
  <c r="D29" i="11"/>
  <c r="D28" i="11"/>
  <c r="D27" i="11"/>
  <c r="D26" i="11"/>
  <c r="D25" i="11"/>
  <c r="D24" i="11"/>
  <c r="D23" i="11"/>
  <c r="D22" i="11"/>
  <c r="D21" i="11"/>
  <c r="D20" i="11"/>
  <c r="C30" i="11"/>
  <c r="C29" i="11"/>
  <c r="C28" i="11"/>
  <c r="C27" i="11"/>
  <c r="C26" i="11"/>
  <c r="C25" i="11"/>
  <c r="C24" i="11"/>
  <c r="C23" i="11"/>
  <c r="C22" i="11"/>
  <c r="C21" i="11"/>
  <c r="C20" i="11"/>
  <c r="J26" i="8"/>
  <c r="J23" i="8"/>
  <c r="J25" i="8"/>
  <c r="J30" i="8"/>
  <c r="J24" i="8"/>
  <c r="J29" i="8"/>
  <c r="J28" i="8"/>
  <c r="J22" i="8"/>
  <c r="J27" i="8"/>
  <c r="J21" i="8"/>
  <c r="I24" i="8"/>
  <c r="I27" i="8"/>
  <c r="I26" i="8"/>
  <c r="I25" i="8"/>
  <c r="I30" i="8"/>
  <c r="I29" i="8"/>
  <c r="I23" i="8"/>
  <c r="I28" i="8"/>
  <c r="I22" i="8"/>
  <c r="I21" i="8"/>
  <c r="H25" i="8"/>
  <c r="H26" i="8"/>
  <c r="H30" i="8"/>
  <c r="H24" i="8"/>
  <c r="H28" i="8"/>
  <c r="H27" i="8"/>
  <c r="H29" i="8"/>
  <c r="H23" i="8"/>
  <c r="H22" i="8"/>
  <c r="H21" i="8"/>
  <c r="G26" i="8"/>
  <c r="G25" i="8"/>
  <c r="G24" i="8"/>
  <c r="G29" i="8"/>
  <c r="G23" i="8"/>
  <c r="G28" i="8"/>
  <c r="G22" i="8"/>
  <c r="G30" i="8"/>
  <c r="G27" i="8"/>
  <c r="G21" i="8"/>
  <c r="E25" i="8"/>
  <c r="E24" i="8"/>
  <c r="E26" i="8"/>
  <c r="E29" i="8"/>
  <c r="E23" i="8"/>
  <c r="E22" i="8"/>
  <c r="E30" i="8"/>
  <c r="E28" i="8"/>
  <c r="E27" i="8"/>
  <c r="E21" i="8"/>
  <c r="D24" i="8"/>
  <c r="D29" i="8"/>
  <c r="D26" i="8"/>
  <c r="D30" i="8"/>
  <c r="D23" i="8"/>
  <c r="D28" i="8"/>
  <c r="D25" i="8"/>
  <c r="D22" i="8"/>
  <c r="D27" i="8"/>
  <c r="D21" i="8"/>
  <c r="C27" i="8"/>
  <c r="C25" i="8"/>
  <c r="C26" i="8"/>
  <c r="C24" i="8"/>
  <c r="C30" i="8"/>
  <c r="C29" i="8"/>
  <c r="C23" i="8"/>
  <c r="C28" i="8"/>
  <c r="C22" i="8"/>
  <c r="C21" i="8"/>
  <c r="B26" i="8"/>
  <c r="B25" i="8"/>
  <c r="B29" i="8"/>
  <c r="B23" i="8"/>
  <c r="B30" i="8"/>
  <c r="B22" i="8"/>
  <c r="B24" i="8"/>
  <c r="B28" i="8"/>
  <c r="B27" i="8"/>
  <c r="B21" i="8"/>
  <c r="J20" i="8"/>
  <c r="I20" i="8"/>
  <c r="H20" i="8"/>
  <c r="G20" i="8"/>
  <c r="E20" i="8"/>
  <c r="D20" i="8"/>
  <c r="C20" i="8"/>
  <c r="B20" i="8"/>
  <c r="E4" i="5"/>
  <c r="J29" i="7"/>
  <c r="J28" i="7"/>
  <c r="J27" i="7"/>
  <c r="J26" i="7"/>
  <c r="J25" i="7"/>
  <c r="J30" i="7"/>
  <c r="J24" i="7"/>
  <c r="J23" i="7"/>
  <c r="J22" i="7"/>
  <c r="J21" i="7"/>
  <c r="J20" i="7"/>
  <c r="E4" i="4"/>
  <c r="E4" i="6"/>
  <c r="F17" i="12"/>
  <c r="F18" i="12"/>
  <c r="F23" i="12"/>
  <c r="F16" i="12"/>
  <c r="F22" i="12"/>
  <c r="F20" i="12"/>
  <c r="F15" i="12"/>
  <c r="F19" i="12"/>
  <c r="F21" i="12"/>
  <c r="F14" i="12"/>
  <c r="E18" i="12"/>
  <c r="E20" i="12"/>
  <c r="E19" i="12"/>
  <c r="E17" i="12"/>
  <c r="E23" i="12"/>
  <c r="E16" i="12"/>
  <c r="E22" i="12"/>
  <c r="E15" i="12"/>
  <c r="E21" i="12"/>
  <c r="E14" i="12"/>
  <c r="C19" i="12"/>
  <c r="C18" i="12"/>
  <c r="C17" i="12"/>
  <c r="C23" i="12"/>
  <c r="C16" i="12"/>
  <c r="C15" i="12"/>
  <c r="C22" i="12"/>
  <c r="C21" i="12"/>
  <c r="C20" i="12"/>
  <c r="C14" i="12"/>
  <c r="B16" i="12"/>
  <c r="B18" i="12"/>
  <c r="B19" i="12"/>
  <c r="B22" i="12"/>
  <c r="B21" i="12"/>
  <c r="B23" i="12"/>
  <c r="B17" i="12"/>
  <c r="B15" i="12"/>
  <c r="B20" i="12"/>
  <c r="B14" i="12"/>
  <c r="F13" i="12"/>
  <c r="E13" i="12"/>
  <c r="C13" i="12"/>
  <c r="B13" i="12"/>
  <c r="E4" i="2"/>
  <c r="E6" i="2"/>
  <c r="G11" i="6"/>
  <c r="K11" i="5"/>
  <c r="E11" i="5"/>
  <c r="H4" i="6"/>
  <c r="G6" i="6"/>
  <c r="G4" i="6"/>
  <c r="J13" i="5"/>
  <c r="J11" i="5"/>
  <c r="I13" i="5"/>
  <c r="I11" i="5"/>
  <c r="H11" i="5"/>
  <c r="G13" i="5"/>
  <c r="G11" i="5"/>
  <c r="E13" i="5"/>
  <c r="K4" i="5"/>
  <c r="J6" i="5"/>
  <c r="J4" i="5"/>
  <c r="I6" i="5"/>
  <c r="I4" i="5"/>
  <c r="H4" i="5"/>
  <c r="G6" i="5"/>
  <c r="G4" i="5"/>
  <c r="E6" i="5"/>
  <c r="E11" i="4"/>
  <c r="B6" i="4"/>
  <c r="N4" i="1"/>
  <c r="N10" i="1"/>
  <c r="N8" i="1"/>
  <c r="N6" i="1"/>
  <c r="B6" i="6"/>
  <c r="A20" i="1"/>
  <c r="A21" i="1"/>
  <c r="A22" i="1"/>
  <c r="A4" i="1"/>
  <c r="A5" i="1"/>
  <c r="A6" i="1"/>
  <c r="A7" i="1"/>
  <c r="A8" i="1"/>
  <c r="A9" i="1"/>
  <c r="A10" i="1"/>
  <c r="A11" i="1"/>
  <c r="A12" i="1"/>
  <c r="A13" i="1"/>
  <c r="A14" i="1"/>
  <c r="A15" i="1"/>
  <c r="A16" i="1" s="1"/>
  <c r="A17" i="1" s="1"/>
  <c r="A18" i="1" s="1"/>
  <c r="A19" i="1" s="1"/>
  <c r="A3" i="1"/>
  <c r="I6" i="2" a="1"/>
  <c r="G6" i="2" a="1"/>
  <c r="I4" i="2" a="1"/>
  <c r="H4" i="2" a="1"/>
  <c r="J6" i="2" a="1"/>
  <c r="K4" i="2" a="1"/>
  <c r="G4" i="2" a="1"/>
  <c r="J4" i="2" a="1"/>
  <c r="M24" i="8" a="1"/>
  <c r="M29" i="8" a="1"/>
  <c r="L30" i="8" a="1"/>
  <c r="L28" i="8" a="1"/>
  <c r="M28" i="8" a="1"/>
  <c r="M23" i="8" a="1"/>
  <c r="L21" i="8" a="1"/>
  <c r="L25" i="8" a="1"/>
  <c r="M27" i="8" a="1"/>
  <c r="M25" i="8" a="1"/>
  <c r="M22" i="8" a="1"/>
  <c r="M20" i="8" a="1"/>
  <c r="L20" i="8" a="1"/>
  <c r="L22" i="8" a="1"/>
  <c r="M21" i="8" a="1"/>
  <c r="M30" i="8" a="1"/>
  <c r="L27" i="8" a="1"/>
  <c r="L24" i="8" a="1"/>
  <c r="L29" i="8" a="1"/>
  <c r="M26" i="8" a="1"/>
  <c r="L23" i="8" a="1"/>
  <c r="L26" i="8" a="1"/>
  <c r="M30" i="7" a="1"/>
  <c r="M25" i="7" a="1"/>
  <c r="M28" i="7" a="1"/>
  <c r="M29" i="7" a="1"/>
  <c r="M27" i="7" a="1"/>
  <c r="M22" i="7" a="1"/>
  <c r="M23" i="7" a="1"/>
  <c r="M26" i="7" a="1"/>
  <c r="M24" i="7" a="1"/>
  <c r="M21" i="7" a="1"/>
  <c r="M20" i="7" a="1"/>
  <c r="L23" i="7" a="1"/>
  <c r="L27" i="7" a="1"/>
  <c r="L29" i="7" a="1"/>
  <c r="L26" i="7" a="1"/>
  <c r="L30" i="7" a="1"/>
  <c r="L28" i="7" a="1"/>
  <c r="L24" i="7" a="1"/>
  <c r="L21" i="7" a="1"/>
  <c r="L25" i="7" a="1"/>
  <c r="L22" i="7" a="1"/>
  <c r="L20" i="7" a="1"/>
  <c r="M30" i="11" a="1"/>
  <c r="M29" i="11" a="1"/>
  <c r="M28" i="11" a="1"/>
  <c r="M27" i="11" a="1"/>
  <c r="M26" i="11" a="1"/>
  <c r="M25" i="11" a="1"/>
  <c r="M24" i="11" a="1"/>
  <c r="M23" i="11" a="1"/>
  <c r="M22" i="11" a="1"/>
  <c r="M21" i="11" a="1"/>
  <c r="M20" i="11" a="1"/>
  <c r="L30" i="11" a="1"/>
  <c r="L29" i="11" a="1"/>
  <c r="L28" i="11" a="1"/>
  <c r="L27" i="11" a="1"/>
  <c r="L26" i="11" a="1"/>
  <c r="L25" i="11" a="1"/>
  <c r="L24" i="11" a="1"/>
  <c r="L23" i="11" a="1"/>
  <c r="L22" i="11" a="1"/>
  <c r="L21" i="11" a="1"/>
  <c r="L20" i="11" a="1"/>
  <c r="L23" i="8" l="1"/>
  <c r="M26" i="8"/>
  <c r="L24" i="8"/>
  <c r="L20" i="8"/>
  <c r="M21" i="8"/>
  <c r="M20" i="8"/>
  <c r="M27" i="8"/>
  <c r="L21" i="8"/>
  <c r="M28" i="8"/>
  <c r="L30" i="8"/>
  <c r="M24" i="8"/>
  <c r="L26" i="8"/>
  <c r="M25" i="8"/>
  <c r="L29" i="8"/>
  <c r="L27" i="8"/>
  <c r="M30" i="8"/>
  <c r="L22" i="8"/>
  <c r="M22" i="8"/>
  <c r="L25" i="8"/>
  <c r="M23" i="8"/>
  <c r="L28" i="8"/>
  <c r="M29" i="8"/>
  <c r="L21" i="7"/>
  <c r="M23" i="7"/>
  <c r="M24" i="7"/>
  <c r="L23" i="7"/>
  <c r="M30" i="7"/>
  <c r="L24" i="7"/>
  <c r="M25" i="7"/>
  <c r="L30" i="7"/>
  <c r="M26" i="7"/>
  <c r="L20" i="11"/>
  <c r="L26" i="7"/>
  <c r="M27" i="7"/>
  <c r="L29" i="7"/>
  <c r="M28" i="7"/>
  <c r="L25" i="7"/>
  <c r="M29" i="7"/>
  <c r="L27" i="7"/>
  <c r="L22" i="7"/>
  <c r="L28" i="7"/>
  <c r="L20" i="7"/>
  <c r="M21" i="7"/>
  <c r="M20" i="7"/>
  <c r="M22" i="7"/>
  <c r="L23" i="11"/>
  <c r="L24" i="11"/>
  <c r="L30" i="11"/>
  <c r="L21" i="11"/>
  <c r="M28" i="11"/>
  <c r="M30" i="11"/>
  <c r="L26" i="11"/>
  <c r="M22" i="11"/>
  <c r="M26" i="11"/>
  <c r="M29" i="11"/>
  <c r="L28" i="11"/>
  <c r="L22" i="11"/>
  <c r="M23" i="11"/>
  <c r="L27" i="11"/>
  <c r="L29" i="11"/>
  <c r="M24" i="11"/>
  <c r="M25" i="11"/>
  <c r="M21" i="11"/>
  <c r="L25" i="11"/>
  <c r="M20" i="11"/>
  <c r="M27" i="11"/>
  <c r="K4" i="2"/>
  <c r="J6" i="2"/>
  <c r="J4" i="2"/>
  <c r="I6" i="2"/>
  <c r="I4" i="2"/>
  <c r="H4" i="2"/>
  <c r="G4" i="2"/>
  <c r="G6" i="2"/>
  <c r="E11" i="6" a="1"/>
  <c r="J4" i="4" a="1"/>
  <c r="G11" i="4" a="1"/>
  <c r="J13" i="6" a="1"/>
  <c r="J13" i="4" a="1"/>
  <c r="K4" i="6" a="1"/>
  <c r="J4" i="6" a="1"/>
  <c r="J11" i="4" a="1"/>
  <c r="K11" i="4" a="1"/>
  <c r="I13" i="6" a="1"/>
  <c r="H11" i="4" a="1"/>
  <c r="J11" i="6" a="1"/>
  <c r="I6" i="4" a="1"/>
  <c r="G13" i="4" a="1"/>
  <c r="J6" i="6" a="1"/>
  <c r="I11" i="6" a="1"/>
  <c r="E6" i="6" a="1"/>
  <c r="K11" i="6" a="1"/>
  <c r="E13" i="6" a="1"/>
  <c r="I4" i="4" a="1"/>
  <c r="J6" i="4" a="1"/>
  <c r="H4" i="4" a="1"/>
  <c r="K4" i="4" a="1"/>
  <c r="G13" i="6" a="1"/>
  <c r="H11" i="6" a="1"/>
  <c r="E13" i="4" a="1"/>
  <c r="I11" i="4" a="1"/>
  <c r="G6" i="4" a="1"/>
  <c r="G4" i="4" a="1"/>
  <c r="I13" i="4" a="1"/>
  <c r="I6" i="6" a="1"/>
  <c r="E6" i="4" a="1"/>
  <c r="I4" i="6" a="1"/>
  <c r="I13" i="4" l="1"/>
  <c r="G13" i="6"/>
  <c r="G11" i="4"/>
  <c r="I11" i="6"/>
  <c r="K4" i="6"/>
  <c r="E6" i="4"/>
  <c r="G4" i="4"/>
  <c r="K4" i="4"/>
  <c r="I6" i="4"/>
  <c r="I4" i="4"/>
  <c r="J11" i="6"/>
  <c r="E13" i="4"/>
  <c r="E6" i="6"/>
  <c r="H11" i="4"/>
  <c r="I13" i="6"/>
  <c r="G13" i="4"/>
  <c r="H4" i="4"/>
  <c r="G6" i="4"/>
  <c r="K11" i="4"/>
  <c r="I6" i="6"/>
  <c r="J4" i="4"/>
  <c r="H11" i="6"/>
  <c r="E11" i="6"/>
  <c r="E13" i="6"/>
  <c r="J11" i="4"/>
  <c r="I4" i="6"/>
  <c r="J4" i="6"/>
  <c r="I11" i="4"/>
  <c r="J13" i="4"/>
  <c r="J6" i="6"/>
  <c r="K11" i="6"/>
  <c r="J6" i="4"/>
  <c r="J1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<sst xmlns="http://schemas.openxmlformats.org/spreadsheetml/2006/main" count="237" uniqueCount="60">
  <si>
    <t>Time</t>
  </si>
  <si>
    <t>Rate</t>
  </si>
  <si>
    <t>Price</t>
  </si>
  <si>
    <t>Time Steps</t>
  </si>
  <si>
    <t>Spot Steps</t>
  </si>
  <si>
    <t>S max</t>
  </si>
  <si>
    <t>Calculation Date</t>
  </si>
  <si>
    <t>Binomial Steps</t>
  </si>
  <si>
    <t>Simulation Number</t>
  </si>
  <si>
    <t>Call</t>
  </si>
  <si>
    <t>Put</t>
  </si>
  <si>
    <t>Delta Call</t>
  </si>
  <si>
    <t>Delta Put</t>
  </si>
  <si>
    <t>Gamma</t>
  </si>
  <si>
    <t>Vega</t>
  </si>
  <si>
    <t>Black Scholes Pricing</t>
  </si>
  <si>
    <t>Parameters</t>
  </si>
  <si>
    <t>Underlying price</t>
  </si>
  <si>
    <t>Strike Price</t>
  </si>
  <si>
    <t xml:space="preserve">Maturity </t>
  </si>
  <si>
    <r>
      <t xml:space="preserve">Interest Rate </t>
    </r>
    <r>
      <rPr>
        <sz val="12"/>
        <color theme="1"/>
        <rFont val="Calibri"/>
        <family val="2"/>
        <scheme val="minor"/>
      </rPr>
      <t>(p.a.)</t>
    </r>
  </si>
  <si>
    <r>
      <t xml:space="preserve">Volatility </t>
    </r>
    <r>
      <rPr>
        <sz val="12"/>
        <color theme="1"/>
        <rFont val="Calibri"/>
        <family val="2"/>
        <scheme val="minor"/>
      </rPr>
      <t>(p.a.)</t>
    </r>
  </si>
  <si>
    <r>
      <t xml:space="preserve">Dividend yield </t>
    </r>
    <r>
      <rPr>
        <sz val="12"/>
        <color theme="1"/>
        <rFont val="Calibri"/>
        <family val="2"/>
        <scheme val="minor"/>
      </rPr>
      <t>(p.a.)</t>
    </r>
  </si>
  <si>
    <t>Delta</t>
  </si>
  <si>
    <t>Theta</t>
  </si>
  <si>
    <t>Rho</t>
  </si>
  <si>
    <t>Grecs</t>
  </si>
  <si>
    <t>Interest Rate Data</t>
  </si>
  <si>
    <t>Please ensure that the data is properly ordered, with the time range spanning from 0 to 1.</t>
  </si>
  <si>
    <t>Each time value must be unique, duplicate time entries are not allowed.</t>
  </si>
  <si>
    <t>Click on 'Export Yield Curve Data' button bellow once you have completed the process.</t>
  </si>
  <si>
    <t>Crank-Nicolson Pricing</t>
  </si>
  <si>
    <t>Interest Rate</t>
  </si>
  <si>
    <t>CN Parameters</t>
  </si>
  <si>
    <t xml:space="preserve">Call </t>
  </si>
  <si>
    <t xml:space="preserve">Put </t>
  </si>
  <si>
    <t>European Price</t>
  </si>
  <si>
    <t>European Grecs</t>
  </si>
  <si>
    <t>American Price</t>
  </si>
  <si>
    <t>American Grecs</t>
  </si>
  <si>
    <t>Models</t>
  </si>
  <si>
    <t>Black Scholes</t>
  </si>
  <si>
    <t>Crank Nicolson</t>
  </si>
  <si>
    <t>Binomial</t>
  </si>
  <si>
    <t>Monte Carlo</t>
  </si>
  <si>
    <t>Please click the 'Refresh Data' button if you have made any changes to the interest rate data.</t>
  </si>
  <si>
    <t>Binomial Parameters</t>
  </si>
  <si>
    <t>Binomial Pricing</t>
  </si>
  <si>
    <t>Monte Carlo Pricing</t>
  </si>
  <si>
    <t>Monte Carlo Parameters</t>
  </si>
  <si>
    <t>Graphs 1</t>
  </si>
  <si>
    <t>Graphs 2</t>
  </si>
  <si>
    <t>European</t>
  </si>
  <si>
    <t>American</t>
  </si>
  <si>
    <t>Graphs 3</t>
  </si>
  <si>
    <t>Exercise Boundary</t>
  </si>
  <si>
    <t>Call EU</t>
  </si>
  <si>
    <t>Put EU</t>
  </si>
  <si>
    <t>Call US</t>
  </si>
  <si>
    <t>Put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</si>
</sst>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1" tint="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88">
    <xf numFmtId="0" fontId="0" fillId="0" borderId="0" xfId="0"/>
    <xf numFmtId="0" fontId="4" fillId="3" borderId="1" xfId="0" applyFont="1" applyFill="1" applyBorder="1"/>
    <xf numFmtId="0" fontId="0" fillId="3" borderId="0" xfId="0" applyFill="1"/>
    <xf numFmtId="0" fontId="0" fillId="3" borderId="3" xfId="0" applyFill="1" applyBorder="1"/>
    <xf numFmtId="0" fontId="0" fillId="3" borderId="4" xfId="0" applyFill="1" applyBorder="1"/>
    <xf numFmtId="0" fontId="0" fillId="4" borderId="1" xfId="0" applyFill="1" applyBorder="1"/>
    <xf numFmtId="10" fontId="0" fillId="4" borderId="1" xfId="0" applyNumberFormat="1" applyFill="1" applyBorder="1"/>
    <xf numFmtId="0" fontId="4" fillId="3" borderId="1" xfId="0" applyFont="1" applyFill="1" applyBorder="1" applyAlignment="1">
      <alignment horizontal="center"/>
    </xf>
    <xf numFmtId="0" fontId="0" fillId="3" borderId="5" xfId="0" applyFill="1" applyBorder="1"/>
    <xf numFmtId="0" fontId="0" fillId="3" borderId="8" xfId="0" applyFill="1" applyBorder="1"/>
    <xf numFmtId="0" fontId="0" fillId="3" borderId="7" xfId="0" applyFill="1" applyBorder="1"/>
    <xf numFmtId="0" fontId="0" fillId="2" borderId="6" xfId="0" applyFill="1" applyBorder="1"/>
    <xf numFmtId="0" fontId="0" fillId="3" borderId="10" xfId="0" applyFill="1" applyBorder="1"/>
    <xf numFmtId="0" fontId="0" fillId="3" borderId="11" xfId="0" applyFill="1" applyBorder="1"/>
    <xf numFmtId="0" fontId="4" fillId="3" borderId="6" xfId="0" applyFont="1" applyFill="1" applyBorder="1" applyAlignment="1">
      <alignment horizontal="center"/>
    </xf>
    <xf numFmtId="0" fontId="0" fillId="3" borderId="9" xfId="0" applyFill="1" applyBorder="1"/>
    <xf numFmtId="0" fontId="0" fillId="3" borderId="12" xfId="0" applyFill="1" applyBorder="1"/>
    <xf numFmtId="0" fontId="0" fillId="5" borderId="1" xfId="0" applyFill="1" applyBorder="1"/>
    <xf numFmtId="0" fontId="4" fillId="6" borderId="1" xfId="0" applyFont="1" applyFill="1" applyBorder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0" fontId="4" fillId="3" borderId="13" xfId="0" applyFont="1" applyFill="1" applyBorder="1"/>
    <xf numFmtId="0" fontId="0" fillId="7" borderId="0" xfId="0" applyFill="1"/>
    <xf numFmtId="0" fontId="4" fillId="3" borderId="14" xfId="0" applyFont="1" applyFill="1" applyBorder="1"/>
    <xf numFmtId="0" fontId="4" fillId="7" borderId="2" xfId="0" applyFont="1" applyFill="1" applyBorder="1"/>
    <xf numFmtId="0" fontId="0" fillId="7" borderId="3" xfId="0" applyFill="1" applyBorder="1"/>
    <xf numFmtId="0" fontId="0" fillId="7" borderId="4" xfId="0" applyFill="1" applyBorder="1"/>
    <xf numFmtId="0" fontId="0" fillId="4" borderId="14" xfId="0" applyFill="1" applyBorder="1"/>
    <xf numFmtId="14" fontId="0" fillId="4" borderId="1" xfId="0" applyNumberFormat="1" applyFill="1" applyBorder="1"/>
    <xf numFmtId="0" fontId="0" fillId="7" borderId="9" xfId="0" applyFill="1" applyBorder="1"/>
    <xf numFmtId="0" fontId="0" fillId="7" borderId="10" xfId="0" applyFill="1" applyBorder="1"/>
    <xf numFmtId="14" fontId="0" fillId="7" borderId="10" xfId="0" applyNumberFormat="1" applyFill="1" applyBorder="1"/>
    <xf numFmtId="0" fontId="0" fillId="7" borderId="8" xfId="0" applyFill="1" applyBorder="1"/>
    <xf numFmtId="0" fontId="3" fillId="8" borderId="5" xfId="0" applyFont="1" applyFill="1" applyBorder="1"/>
    <xf numFmtId="0" fontId="0" fillId="8" borderId="6" xfId="0" applyFill="1" applyBorder="1"/>
    <xf numFmtId="0" fontId="0" fillId="8" borderId="9" xfId="0" applyFill="1" applyBorder="1"/>
    <xf numFmtId="0" fontId="0" fillId="8" borderId="2" xfId="0" applyFill="1" applyBorder="1"/>
    <xf numFmtId="0" fontId="0" fillId="8" borderId="3" xfId="0" applyFill="1" applyBorder="1"/>
    <xf numFmtId="0" fontId="3" fillId="8" borderId="3" xfId="0" applyFont="1" applyFill="1" applyBorder="1"/>
    <xf numFmtId="0" fontId="0" fillId="8" borderId="4" xfId="0" applyFill="1" applyBorder="1"/>
    <xf numFmtId="0" fontId="7" fillId="2" borderId="5" xfId="0" applyFont="1" applyFill="1" applyBorder="1"/>
    <xf numFmtId="0" fontId="0" fillId="2" borderId="2" xfId="0" applyFill="1" applyBorder="1"/>
    <xf numFmtId="0" fontId="7" fillId="2" borderId="3" xfId="0" applyFont="1" applyFill="1" applyBorder="1" applyAlignment="1">
      <alignment horizontal="center"/>
    </xf>
    <xf numFmtId="0" fontId="2" fillId="2" borderId="3" xfId="0" applyFont="1" applyFill="1" applyBorder="1"/>
    <xf numFmtId="0" fontId="7" fillId="2" borderId="2" xfId="0" applyFont="1" applyFill="1" applyBorder="1"/>
    <xf numFmtId="0" fontId="3" fillId="8" borderId="2" xfId="0" applyFont="1" applyFill="1" applyBorder="1"/>
    <xf numFmtId="0" fontId="0" fillId="0" borderId="6" xfId="0" applyBorder="1"/>
    <xf numFmtId="0" fontId="4" fillId="7" borderId="13" xfId="0" applyFont="1" applyFill="1" applyBorder="1" applyAlignment="1">
      <alignment horizontal="center"/>
    </xf>
    <xf numFmtId="0" fontId="0" fillId="7" borderId="7" xfId="0" applyFill="1" applyBorder="1"/>
    <xf numFmtId="0" fontId="8" fillId="7" borderId="1" xfId="1" applyFill="1" applyBorder="1" applyAlignment="1">
      <alignment horizontal="center"/>
    </xf>
    <xf numFmtId="0" fontId="0" fillId="6" borderId="7" xfId="0" applyFill="1" applyBorder="1"/>
    <xf numFmtId="0" fontId="0" fillId="6" borderId="0" xfId="0" applyFill="1"/>
    <xf numFmtId="0" fontId="0" fillId="6" borderId="10" xfId="0" applyFill="1" applyBorder="1"/>
    <xf numFmtId="0" fontId="7" fillId="6" borderId="0" xfId="0" applyFont="1" applyFill="1"/>
    <xf numFmtId="0" fontId="0" fillId="6" borderId="12" xfId="0" applyFill="1" applyBorder="1"/>
    <xf numFmtId="0" fontId="0" fillId="6" borderId="11" xfId="0" applyFill="1" applyBorder="1"/>
    <xf numFmtId="0" fontId="0" fillId="6" borderId="8" xfId="0" applyFill="1" applyBorder="1"/>
    <xf numFmtId="0" fontId="6" fillId="6" borderId="5" xfId="0" applyFont="1" applyFill="1" applyBorder="1"/>
    <xf numFmtId="0" fontId="0" fillId="6" borderId="6" xfId="0" applyFill="1" applyBorder="1"/>
    <xf numFmtId="0" fontId="0" fillId="6" borderId="9" xfId="0" applyFill="1" applyBorder="1"/>
    <xf numFmtId="0" fontId="6" fillId="6" borderId="7" xfId="0" applyFont="1" applyFill="1" applyBorder="1"/>
    <xf numFmtId="0" fontId="7" fillId="6" borderId="1" xfId="0" applyFont="1" applyFill="1" applyBorder="1"/>
    <xf numFmtId="0" fontId="8" fillId="6" borderId="1" xfId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4" fillId="3" borderId="0" xfId="0" applyFont="1" applyFill="1"/>
    <xf numFmtId="0" fontId="4" fillId="3" borderId="5" xfId="0" applyFont="1" applyFill="1" applyBorder="1"/>
    <xf numFmtId="0" fontId="6" fillId="0" borderId="0" xfId="0" applyFont="1"/>
    <xf numFmtId="0" fontId="10" fillId="3" borderId="0" xfId="0" applyFont="1" applyFill="1"/>
    <xf numFmtId="0" fontId="6" fillId="3" borderId="0" xfId="0" applyFont="1" applyFill="1"/>
    <xf numFmtId="0" fontId="4" fillId="3" borderId="13" xfId="0" applyFont="1" applyFill="1" applyBorder="1" applyAlignment="1">
      <alignment horizontal="center"/>
    </xf>
    <xf numFmtId="0" fontId="4" fillId="3" borderId="2" xfId="0" applyFont="1" applyFill="1" applyBorder="1"/>
    <xf numFmtId="14" fontId="0" fillId="3" borderId="10" xfId="0" applyNumberFormat="1" applyFill="1" applyBorder="1"/>
    <xf numFmtId="0" fontId="4" fillId="3" borderId="12" xfId="0" applyFont="1" applyFill="1" applyBorder="1"/>
    <xf numFmtId="0" fontId="4" fillId="3" borderId="9" xfId="0" applyFont="1" applyFill="1" applyBorder="1" applyAlignment="1">
      <alignment horizontal="center"/>
    </xf>
    <xf numFmtId="0" fontId="0" fillId="3" borderId="6" xfId="0" applyFill="1" applyBorder="1"/>
    <xf numFmtId="0" fontId="0" fillId="9" borderId="2" xfId="0" applyFill="1" applyBorder="1"/>
    <xf numFmtId="0" fontId="7" fillId="9" borderId="3" xfId="0" applyFont="1" applyFill="1" applyBorder="1" applyAlignment="1">
      <alignment horizontal="center"/>
    </xf>
    <xf numFmtId="0" fontId="0" fillId="9" borderId="3" xfId="0" applyFill="1" applyBorder="1"/>
    <xf numFmtId="0" fontId="2" fillId="9" borderId="3" xfId="0" applyFont="1" applyFill="1" applyBorder="1"/>
    <xf numFmtId="0" fontId="0" fillId="9" borderId="4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4" xfId="0" applyBorder="1"/>
    <xf numFmtId="0" fontId="0" fillId="0" borderId="1" xfId="0" applyBorder="1"/>
    <xf numFmtId="0" fontId="0" fillId="2" borderId="9" xfId="0" applyFill="1" applyBorder="1"/>
    <xf numFmtId="0" fontId="3" fillId="0" borderId="0" xfId="0" applyFont="1"/>
    <xf numFmtId="0" fontId="7" fillId="0" borderId="0" xfId="0" applyFont="1"/>
    <xf numFmtId="0" fontId="7" fillId="2" borderId="6" xfId="0" applyFont="1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05405405405405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Rate!$B$1</c:f>
              <c:strCache>
                <c:ptCount val="1"/>
                <c:pt idx="0">
                  <c:v>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Rate!$A$2:$A$12</c:f>
              <c:numCache>
                <c:formatCode>General</c:formatCode>
                <c:ptCount val="1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</c:numCache>
            </c:numRef>
          </c:cat>
          <c:val>
            <c:numRef>
              <c:f>Rate!$B$2:$B$12</c:f>
              <c:numCache>
                <c:formatCode>0.00%</c:formatCode>
                <c:ptCount val="11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40-4FF8-BB41-802956163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9453087"/>
        <c:axId val="399454047"/>
      </c:lineChart>
      <c:catAx>
        <c:axId val="399453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9454047"/>
        <c:crosses val="autoZero"/>
        <c:auto val="1"/>
        <c:lblAlgn val="ctr"/>
        <c:lblOffset val="100"/>
        <c:noMultiLvlLbl val="0"/>
      </c:catAx>
      <c:valAx>
        <c:axId val="39945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9453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Graphs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'B&amp;S Graphs'!$B$12</c:f>
              <c:strCache>
                <c:ptCount val="1"/>
                <c:pt idx="0">
                  <c:v>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'B&amp;S Graphs'!$A$13:$A$23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'B&amp;S Graphs'!$B$13:$B$23</c:f>
              <c:numCache>
                <c:formatCode>General</c:formatCode>
                <c:ptCount val="11"/>
                <c:pt idx="0">
                  <c:v>2.3812681390135704E-3</c:v>
                </c:pt>
                <c:pt idx="1">
                  <c:v>5.4180972263486726E-2</c:v>
                </c:pt>
                <c:pt idx="2">
                  <c:v>0.44017263378261529</c:v>
                </c:pt>
                <c:pt idx="3">
                  <c:v>1.8561599742922095</c:v>
                </c:pt>
                <c:pt idx="4">
                  <c:v>5.0858678861672928</c:v>
                </c:pt>
                <c:pt idx="5">
                  <c:v>10.443997221796657</c:v>
                </c:pt>
                <c:pt idx="6">
                  <c:v>17.656164240258519</c:v>
                </c:pt>
                <c:pt idx="7">
                  <c:v>26.16264679492933</c:v>
                </c:pt>
                <c:pt idx="8">
                  <c:v>35.434400047375902</c:v>
                </c:pt>
                <c:pt idx="9">
                  <c:v>45.105163038789911</c:v>
                </c:pt>
                <c:pt idx="10">
                  <c:v>54.964964937646101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9D-4183-B116-07224E5F6F50}"/>
            </c:ext>
          </c:extLst>
        </c:ser>
        <c:ser>
          <c:idx val="1"/>
          <c:order val="1"/>
          <c:tx>
            <c:strRef>
              <c:f>'B&amp;S Graphs'!$C$12</c:f>
              <c:strCache>
                <c:ptCount val="1"/>
                <c:pt idx="0">
                  <c:v>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'B&amp;S Graphs'!$A$13:$A$23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'B&amp;S Graphs'!$C$13:$C$23</c:f>
              <c:numCache>
                <c:formatCode>General</c:formatCode>
                <c:ptCount val="11"/>
                <c:pt idx="0">
                  <c:v>45.130206951477639</c:v>
                </c:pt>
                <c:pt idx="1">
                  <c:v>35.182006655602123</c:v>
                </c:pt>
                <c:pt idx="2">
                  <c:v>25.567998317121251</c:v>
                </c:pt>
                <c:pt idx="3">
                  <c:v>16.983985657630853</c:v>
                </c:pt>
                <c:pt idx="4">
                  <c:v>10.213693569505935</c:v>
                </c:pt>
                <c:pt idx="5">
                  <c:v>5.5718229051352992</c:v>
                </c:pt>
                <c:pt idx="6">
                  <c:v>2.7839899235971686</c:v>
                </c:pt>
                <c:pt idx="7">
                  <c:v>1.2904724782679704</c:v>
                </c:pt>
                <c:pt idx="8">
                  <c:v>0.56222573071452064</c:v>
                </c:pt>
                <c:pt idx="9">
                  <c:v>0.23298872212857669</c:v>
                </c:pt>
                <c:pt idx="10">
                  <c:v>9.2790620984738226E-2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9D-4183-B116-07224E5F6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6820671"/>
        <c:axId val="1976820191"/>
      </c:lineChart>
      <c:catAx>
        <c:axId val="197682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6820191"/>
        <c:crosses val="autoZero"/>
        <c:auto val="1"/>
        <c:lblAlgn val="ctr"/>
        <c:lblOffset val="100"/>
        <c:noMultiLvlLbl val="0"/>
      </c:catAx>
      <c:valAx>
        <c:axId val="197682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682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Graphs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'B&amp;S Graphs'!$E$12</c:f>
              <c:strCache>
                <c:ptCount val="1"/>
                <c:pt idx="0">
                  <c:v>Delta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'B&amp;S Graphs'!$A$13:$A$23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'B&amp;S Graphs'!$E$13:$E$23</c:f>
              <c:numCache>
                <c:formatCode>General</c:formatCode>
                <c:ptCount val="11"/>
                <c:pt idx="0">
                  <c:v>9.1135316496231329E-4</c:v>
                </c:pt>
                <c:pt idx="1">
                  <c:v>1.3705308731650793E-2</c:v>
                </c:pt>
                <c:pt idx="2">
                  <c:v>7.5719001865056063E-2</c:v>
                </c:pt>
                <c:pt idx="3">
                  <c:v>0.2216981497783935</c:v>
                </c:pt>
                <c:pt idx="4">
                  <c:v>0.42965485815930715</c:v>
                </c:pt>
                <c:pt idx="5">
                  <c:v>0.63676321176098793</c:v>
                </c:pt>
                <c:pt idx="6">
                  <c:v>0.79577262883645017</c:v>
                </c:pt>
                <c:pt idx="7">
                  <c:v>0.89650696587870393</c:v>
                </c:pt>
                <c:pt idx="8">
                  <c:v>0.95177523855623547</c:v>
                </c:pt>
                <c:pt idx="9">
                  <c:v>0.97897605027524559</c:v>
                </c:pt>
                <c:pt idx="10">
                  <c:v>0.99130100799995391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9-47E0-BE45-AD02E56C910A}"/>
            </c:ext>
          </c:extLst>
        </c:ser>
        <c:ser>
          <c:idx val="1"/>
          <c:order val="1"/>
          <c:tx>
            <c:strRef>
              <c:f>'B&amp;S Graphs'!$F$12</c:f>
              <c:strCache>
                <c:ptCount val="1"/>
                <c:pt idx="0">
                  <c:v>Delta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'B&amp;S Graphs'!$A$13:$A$23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'B&amp;S Graphs'!$F$13:$F$23</c:f>
              <c:numCache>
                <c:formatCode>General</c:formatCode>
                <c:ptCount val="11"/>
                <c:pt idx="0">
                  <c:v>-0.99908864683503773</c:v>
                </c:pt>
                <c:pt idx="1">
                  <c:v>-0.98629469126834923</c:v>
                </c:pt>
                <c:pt idx="2">
                  <c:v>-0.92428099813494402</c:v>
                </c:pt>
                <c:pt idx="3">
                  <c:v>-0.77830185022160658</c:v>
                </c:pt>
                <c:pt idx="4">
                  <c:v>-0.57034514184069285</c:v>
                </c:pt>
                <c:pt idx="5">
                  <c:v>-0.36323678823901207</c:v>
                </c:pt>
                <c:pt idx="6">
                  <c:v>-0.2042273711635498</c:v>
                </c:pt>
                <c:pt idx="7">
                  <c:v>-0.10349303412129605</c:v>
                </c:pt>
                <c:pt idx="8">
                  <c:v>-4.8224761443764655E-2</c:v>
                </c:pt>
                <c:pt idx="9">
                  <c:v>-2.1023949724754326E-2</c:v>
                </c:pt>
                <c:pt idx="10">
                  <c:v>-8.6989920000460925E-3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39-47E0-BE45-AD02E56C9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2670799"/>
        <c:axId val="1804474047"/>
      </c:lineChart>
      <c:catAx>
        <c:axId val="198267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4474047"/>
        <c:crosses val="autoZero"/>
        <c:auto val="1"/>
        <c:lblAlgn val="ctr"/>
        <c:lblOffset val="100"/>
        <c:noMultiLvlLbl val="0"/>
      </c:catAx>
      <c:valAx>
        <c:axId val="180447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82670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Graphs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'CN Graphs'!$B$19</c:f>
              <c:strCache>
                <c:ptCount val="1"/>
                <c:pt idx="0">
                  <c:v>Call EU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'CN Graphs'!$B$20:$B$30</c:f>
              <c:numCache>
                <c:formatCode>General</c:formatCode>
                <c:ptCount val="11"/>
                <c:pt idx="0">
                  <c:v>3.608862402186961E-4</c:v>
                </c:pt>
                <c:pt idx="1">
                  <c:v>1.1559649404557922E-2</c:v>
                </c:pt>
                <c:pt idx="2">
                  <c:v>0.12896155047911836</c:v>
                </c:pt>
                <c:pt idx="3">
                  <c:v>0.7088831825278139</c:v>
                </c:pt>
                <c:pt idx="4">
                  <c:v>2.4029598232859799</c:v>
                </c:pt>
                <c:pt idx="5">
                  <c:v>5.8299581421889819</c:v>
                </c:pt>
                <c:pt idx="6">
                  <c:v>11.202331291399807</c:v>
                </c:pt>
                <c:pt idx="7">
                  <c:v>18.283492927155311</c:v>
                </c:pt>
                <c:pt idx="8">
                  <c:v>26.609948612960029</c:v>
                </c:pt>
                <c:pt idx="9">
                  <c:v>35.719978278820655</c:v>
                </c:pt>
                <c:pt idx="10">
                  <c:v>45.259355841538266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F9-4718-8A65-8ED42FE9341A}"/>
            </c:ext>
          </c:extLst>
        </c:ser>
        <c:ser>
          <c:idx val="1"/>
          <c:order val="1"/>
          <c:tx>
            <c:strRef>
              <c:f>'CN Graphs'!$C$19</c:f>
              <c:strCache>
                <c:ptCount val="1"/>
                <c:pt idx="0">
                  <c:v>Put EU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'CN Graphs'!$C$20:$C$30</c:f>
              <c:numCache>
                <c:formatCode>General</c:formatCode>
                <c:ptCount val="11"/>
                <c:pt idx="0">
                  <c:v>55.078911769546579</c:v>
                </c:pt>
                <c:pt idx="1">
                  <c:v>45.090110532710845</c:v>
                </c:pt>
                <c:pt idx="2">
                  <c:v>35.207512433793603</c:v>
                </c:pt>
                <c:pt idx="3">
                  <c:v>25.787434066751917</c:v>
                </c:pt>
                <c:pt idx="4">
                  <c:v>17.48151075119544</c:v>
                </c:pt>
                <c:pt idx="5">
                  <c:v>10.908510161224061</c:v>
                </c:pt>
                <c:pt idx="6">
                  <c:v>6.280899480228002</c:v>
                </c:pt>
                <c:pt idx="7">
                  <c:v>3.3622182154842832</c:v>
                </c:pt>
                <c:pt idx="8">
                  <c:v>1.6897542668313035</c:v>
                </c:pt>
                <c:pt idx="9">
                  <c:v>0.80536631251461499</c:v>
                </c:pt>
                <c:pt idx="10">
                  <c:v>0.36746242280541908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F9-4718-8A65-8ED42FE9341A}"/>
            </c:ext>
          </c:extLst>
        </c:ser>
        <c:ser>
          <c:idx val="2"/>
          <c:order val="2"/>
          <c:tx>
            <c:strRef>
              <c:f>'CN Graphs'!$D$19</c:f>
              <c:strCache>
                <c:ptCount val="1"/>
                <c:pt idx="0">
                  <c:v>Call US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'CN Graphs'!$D$20:$D$30</c:f>
              <c:numCache>
                <c:formatCode>General</c:formatCode>
                <c:ptCount val="11"/>
                <c:pt idx="0">
                  <c:v>3.6749951697756869E-4</c:v>
                </c:pt>
                <c:pt idx="1">
                  <c:v>1.1838589021023934E-2</c:v>
                </c:pt>
                <c:pt idx="2">
                  <c:v>0.1330387481656288</c:v>
                </c:pt>
                <c:pt idx="3">
                  <c:v>0.73805841429225361</c:v>
                </c:pt>
                <c:pt idx="4">
                  <c:v>2.5307288845523686</c:v>
                </c:pt>
                <c:pt idx="5">
                  <c:v>6.2267621080151745</c:v>
                </c:pt>
                <c:pt idx="6">
                  <c:v>12.167538165932323</c:v>
                </c:pt>
                <c:pt idx="7">
                  <c:v>20.250090584434055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F9-4718-8A65-8ED42FE9341A}"/>
            </c:ext>
          </c:extLst>
        </c:ser>
        <c:ser>
          <c:idx val="3"/>
          <c:order val="3"/>
          <c:tx>
            <c:strRef>
              <c:f>'CN Graphs'!$E$19</c:f>
              <c:strCache>
                <c:ptCount val="1"/>
                <c:pt idx="0">
                  <c:v>Put US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'CN Graphs'!$E$20:$E$30</c:f>
              <c:numCache>
                <c:formatCode>General</c:formatCode>
                <c:ptCount val="11"/>
                <c:pt idx="0">
                  <c:v>55.078911769546579</c:v>
                </c:pt>
                <c:pt idx="1">
                  <c:v>45.090110532710845</c:v>
                </c:pt>
                <c:pt idx="2">
                  <c:v>35.207512433793603</c:v>
                </c:pt>
                <c:pt idx="3">
                  <c:v>25.787434066751917</c:v>
                </c:pt>
                <c:pt idx="4">
                  <c:v>17.48151075119544</c:v>
                </c:pt>
                <c:pt idx="5">
                  <c:v>10.908510161224061</c:v>
                </c:pt>
                <c:pt idx="6">
                  <c:v>6.280899480228002</c:v>
                </c:pt>
                <c:pt idx="7">
                  <c:v>3.3622182154842832</c:v>
                </c:pt>
                <c:pt idx="8">
                  <c:v>1.6897542668313035</c:v>
                </c:pt>
                <c:pt idx="9">
                  <c:v>0.80536631251461499</c:v>
                </c:pt>
                <c:pt idx="10">
                  <c:v>0.36746242280541908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F9-4718-8A65-8ED42FE93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833935"/>
        <c:axId val="2129832975"/>
      </c:lineChart>
      <c:catAx>
        <c:axId val="212983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29832975"/>
        <c:crosses val="autoZero"/>
        <c:auto val="1"/>
        <c:lblAlgn val="ctr"/>
        <c:lblOffset val="100"/>
        <c:noMultiLvlLbl val="0"/>
      </c:catAx>
      <c:valAx>
        <c:axId val="212983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2983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Graphs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'CN Graphs'!$G$19</c:f>
              <c:strCache>
                <c:ptCount val="1"/>
                <c:pt idx="0">
                  <c:v>Delta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'CN Graphs'!$G$20:$G$30</c:f>
              <c:numCache>
                <c:formatCode>General</c:formatCode>
                <c:ptCount val="11"/>
                <c:pt idx="0">
                  <c:v>1.6279062312586992E-4</c:v>
                </c:pt>
                <c:pt idx="1">
                  <c:v>3.4319788678371646E-3</c:v>
                </c:pt>
                <c:pt idx="2">
                  <c:v>2.6314526319106163E-2</c:v>
                </c:pt>
                <c:pt idx="3">
                  <c:v>0.10205326978276516</c:v>
                </c:pt>
                <c:pt idx="4">
                  <c:v>0.2486340526723812</c:v>
                </c:pt>
                <c:pt idx="5">
                  <c:v>0.44062697237659121</c:v>
                </c:pt>
                <c:pt idx="6">
                  <c:v>0.62914508114953149</c:v>
                </c:pt>
                <c:pt idx="7">
                  <c:v>0.77833559466692126</c:v>
                </c:pt>
                <c:pt idx="8">
                  <c:v>0.8784769709314697</c:v>
                </c:pt>
                <c:pt idx="9">
                  <c:v>0.93717299781671048</c:v>
                </c:pt>
                <c:pt idx="10">
                  <c:v>0.96630747392250294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0-475E-A226-DF3703E239E1}"/>
            </c:ext>
          </c:extLst>
        </c:ser>
        <c:ser>
          <c:idx val="1"/>
          <c:order val="1"/>
          <c:tx>
            <c:strRef>
              <c:f>'CN Graphs'!$H$19</c:f>
              <c:strCache>
                <c:ptCount val="1"/>
                <c:pt idx="0">
                  <c:v>Delta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'CN Graphs'!$H$20:$H$30</c:f>
              <c:numCache>
                <c:formatCode>General</c:formatCode>
                <c:ptCount val="11"/>
                <c:pt idx="0">
                  <c:v>-0.99983720937688503</c:v>
                </c:pt>
                <c:pt idx="1">
                  <c:v>-0.99656802113216258</c:v>
                </c:pt>
                <c:pt idx="2">
                  <c:v>-0.97368547367586633</c:v>
                </c:pt>
                <c:pt idx="3">
                  <c:v>-0.89794672978398937</c:v>
                </c:pt>
                <c:pt idx="4">
                  <c:v>-0.75136593042678812</c:v>
                </c:pt>
                <c:pt idx="5">
                  <c:v>-0.55937267479488639</c:v>
                </c:pt>
                <c:pt idx="6">
                  <c:v>-0.37085044074237322</c:v>
                </c:pt>
                <c:pt idx="7">
                  <c:v>-0.22162635721377519</c:v>
                </c:pt>
                <c:pt idx="8">
                  <c:v>-0.12129006776145786</c:v>
                </c:pt>
                <c:pt idx="9">
                  <c:v>-6.1738663791892627E-2</c:v>
                </c:pt>
                <c:pt idx="10">
                  <c:v>-2.9634908220826706E-2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0-475E-A226-DF3703E239E1}"/>
            </c:ext>
          </c:extLst>
        </c:ser>
        <c:ser>
          <c:idx val="2"/>
          <c:order val="2"/>
          <c:tx>
            <c:strRef>
              <c:f>'CN Graphs'!$I$19</c:f>
              <c:strCache>
                <c:ptCount val="1"/>
                <c:pt idx="0">
                  <c:v>Delta Call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'CN Graphs'!$I$20:$I$30</c:f>
              <c:numCache>
                <c:formatCode>General</c:formatCode>
                <c:ptCount val="11"/>
                <c:pt idx="0">
                  <c:v>1.6602069811933324E-4</c:v>
                </c:pt>
                <c:pt idx="1">
                  <c:v>3.5236347958532105E-3</c:v>
                </c:pt>
                <c:pt idx="2">
                  <c:v>2.7263829034277147E-2</c:v>
                </c:pt>
                <c:pt idx="3">
                  <c:v>0.10704162918910125</c:v>
                </c:pt>
                <c:pt idx="4">
                  <c:v>0.26513434775160155</c:v>
                </c:pt>
                <c:pt idx="5">
                  <c:v>0.48030166749615866</c:v>
                </c:pt>
                <c:pt idx="6">
                  <c:v>0.70561088096119051</c:v>
                </c:pt>
                <c:pt idx="7">
                  <c:v>0.90424178857789239</c:v>
                </c:pt>
                <c:pt idx="8">
                  <c:v>1.0000000000000087</c:v>
                </c:pt>
                <c:pt idx="9">
                  <c:v>1.000000000000004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00-475E-A226-DF3703E239E1}"/>
            </c:ext>
          </c:extLst>
        </c:ser>
        <c:ser>
          <c:idx val="3"/>
          <c:order val="3"/>
          <c:tx>
            <c:strRef>
              <c:f>'CN Graphs'!$J$19</c:f>
              <c:strCache>
                <c:ptCount val="1"/>
                <c:pt idx="0">
                  <c:v>Delta Put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'CN Graphs'!$J$20:$J$30</c:f>
              <c:numCache>
                <c:formatCode>General</c:formatCode>
                <c:ptCount val="11"/>
                <c:pt idx="0">
                  <c:v>-0.99983720937688503</c:v>
                </c:pt>
                <c:pt idx="1">
                  <c:v>-0.99656802113216258</c:v>
                </c:pt>
                <c:pt idx="2">
                  <c:v>-0.97368547367586633</c:v>
                </c:pt>
                <c:pt idx="3">
                  <c:v>-0.89794672978398937</c:v>
                </c:pt>
                <c:pt idx="4">
                  <c:v>-0.75136593042678812</c:v>
                </c:pt>
                <c:pt idx="5">
                  <c:v>-0.55937267479488639</c:v>
                </c:pt>
                <c:pt idx="6">
                  <c:v>-0.37085044074237322</c:v>
                </c:pt>
                <c:pt idx="7">
                  <c:v>-0.22162635721377519</c:v>
                </c:pt>
                <c:pt idx="8">
                  <c:v>-0.12129006776145786</c:v>
                </c:pt>
                <c:pt idx="9">
                  <c:v>-6.1738663791892627E-2</c:v>
                </c:pt>
                <c:pt idx="10">
                  <c:v>-2.9634908220826706E-2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00-475E-A226-DF3703E23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2352095"/>
        <c:axId val="2032351615"/>
      </c:lineChart>
      <c:catAx>
        <c:axId val="203235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32351615"/>
        <c:crosses val="autoZero"/>
        <c:auto val="1"/>
        <c:lblAlgn val="ctr"/>
        <c:lblOffset val="100"/>
        <c:noMultiLvlLbl val="0"/>
      </c:catAx>
      <c:valAx>
        <c:axId val="2032351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3235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Graphs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'CN Graphs'!$L$19</c:f>
              <c:strCache>
                <c:ptCount val="1"/>
                <c:pt idx="0">
                  <c:v>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'CN Graphs'!$L$20:$L$30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F-480C-8B81-9FE26D15AD56}"/>
            </c:ext>
          </c:extLst>
        </c:ser>
        <c:ser>
          <c:idx val="1"/>
          <c:order val="1"/>
          <c:tx>
            <c:strRef>
              <c:f>'CN Graphs'!$M$19</c:f>
              <c:strCache>
                <c:ptCount val="1"/>
                <c:pt idx="0">
                  <c:v>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'CN Graphs'!$M$20:$M$30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5F-480C-8B81-9FE26D15A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8031"/>
        <c:axId val="75351791"/>
      </c:lineChart>
      <c:catAx>
        <c:axId val="7535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351791"/>
        <c:crosses val="autoZero"/>
        <c:auto val="1"/>
        <c:lblAlgn val="ctr"/>
        <c:lblOffset val="100"/>
        <c:noMultiLvlLbl val="0"/>
      </c:catAx>
      <c:valAx>
        <c:axId val="7535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35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Graphs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'BIN Graphs'!$B$19</c:f>
              <c:strCache>
                <c:ptCount val="1"/>
                <c:pt idx="0">
                  <c:v>Call EU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'BIN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'BIN Graphs'!$B$20:$B$30</c:f>
              <c:numCache>
                <c:formatCode>General</c:formatCode>
                <c:ptCount val="11"/>
                <c:pt idx="0">
                  <c:v>3.0926511422130193E-4</c:v>
                </c:pt>
                <c:pt idx="1">
                  <c:v>1.1480927734339614E-2</c:v>
                </c:pt>
                <c:pt idx="2">
                  <c:v>0.13014959110030916</c:v>
                </c:pt>
                <c:pt idx="3">
                  <c:v>0.72732176059374432</c:v>
                </c:pt>
                <c:pt idx="4">
                  <c:v>2.4401359947585854</c:v>
                </c:pt>
                <c:pt idx="5">
                  <c:v>5.8382909204433489</c:v>
                </c:pt>
                <c:pt idx="6">
                  <c:v>11.236470487030273</c:v>
                </c:pt>
                <c:pt idx="7">
                  <c:v>18.295653179310971</c:v>
                </c:pt>
                <c:pt idx="8">
                  <c:v>26.598280166226303</c:v>
                </c:pt>
                <c:pt idx="9">
                  <c:v>35.694755164524011</c:v>
                </c:pt>
                <c:pt idx="10">
                  <c:v>45.241115102464953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F-49E3-929C-9760CC505093}"/>
            </c:ext>
          </c:extLst>
        </c:ser>
        <c:ser>
          <c:idx val="1"/>
          <c:order val="1"/>
          <c:tx>
            <c:strRef>
              <c:f>'BIN Graphs'!$C$19</c:f>
              <c:strCache>
                <c:ptCount val="1"/>
                <c:pt idx="0">
                  <c:v>Put EU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'BIN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'BIN Graphs'!$C$20:$C$30</c:f>
              <c:numCache>
                <c:formatCode>General</c:formatCode>
                <c:ptCount val="11"/>
                <c:pt idx="0">
                  <c:v>55.127418902716045</c:v>
                </c:pt>
                <c:pt idx="1">
                  <c:v>45.13859056533623</c:v>
                </c:pt>
                <c:pt idx="2">
                  <c:v>35.257259228702253</c:v>
                </c:pt>
                <c:pt idx="3">
                  <c:v>25.854431398195761</c:v>
                </c:pt>
                <c:pt idx="4">
                  <c:v>17.567245632360667</c:v>
                </c:pt>
                <c:pt idx="5">
                  <c:v>10.965400558045504</c:v>
                </c:pt>
                <c:pt idx="6">
                  <c:v>6.3635801246324943</c:v>
                </c:pt>
                <c:pt idx="7">
                  <c:v>3.4227628169132678</c:v>
                </c:pt>
                <c:pt idx="8">
                  <c:v>1.7253898038286608</c:v>
                </c:pt>
                <c:pt idx="9">
                  <c:v>0.82186480212643032</c:v>
                </c:pt>
                <c:pt idx="10">
                  <c:v>0.36822474006745404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F-49E3-929C-9760CC505093}"/>
            </c:ext>
          </c:extLst>
        </c:ser>
        <c:ser>
          <c:idx val="2"/>
          <c:order val="2"/>
          <c:tx>
            <c:strRef>
              <c:f>'BIN Graphs'!$D$19</c:f>
              <c:strCache>
                <c:ptCount val="1"/>
                <c:pt idx="0">
                  <c:v>Call US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'BIN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'BIN Graphs'!$D$20:$D$30</c:f>
              <c:numCache>
                <c:formatCode>General</c:formatCode>
                <c:ptCount val="11"/>
                <c:pt idx="0">
                  <c:v>3.1466101704923945E-4</c:v>
                </c:pt>
                <c:pt idx="1">
                  <c:v>1.1800559622767614E-2</c:v>
                </c:pt>
                <c:pt idx="2">
                  <c:v>0.13496802780258871</c:v>
                </c:pt>
                <c:pt idx="3">
                  <c:v>0.75792732965097465</c:v>
                </c:pt>
                <c:pt idx="4">
                  <c:v>2.5724170890270468</c:v>
                </c:pt>
                <c:pt idx="5">
                  <c:v>6.2560214632845907</c:v>
                </c:pt>
                <c:pt idx="6">
                  <c:v>12.211917485417063</c:v>
                </c:pt>
                <c:pt idx="7">
                  <c:v>20.273139217606495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4F-49E3-929C-9760CC505093}"/>
            </c:ext>
          </c:extLst>
        </c:ser>
        <c:ser>
          <c:idx val="3"/>
          <c:order val="3"/>
          <c:tx>
            <c:strRef>
              <c:f>'BIN Graphs'!$E$19</c:f>
              <c:strCache>
                <c:ptCount val="1"/>
                <c:pt idx="0">
                  <c:v>Put US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'BIN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'BIN Graphs'!$E$20:$E$30</c:f>
              <c:numCache>
                <c:formatCode>General</c:formatCode>
                <c:ptCount val="11"/>
                <c:pt idx="0">
                  <c:v>55.127418902716045</c:v>
                </c:pt>
                <c:pt idx="1">
                  <c:v>45.13859056533623</c:v>
                </c:pt>
                <c:pt idx="2">
                  <c:v>35.257259228702253</c:v>
                </c:pt>
                <c:pt idx="3">
                  <c:v>25.854431398195761</c:v>
                </c:pt>
                <c:pt idx="4">
                  <c:v>17.567245632360667</c:v>
                </c:pt>
                <c:pt idx="5">
                  <c:v>10.965400558045504</c:v>
                </c:pt>
                <c:pt idx="6">
                  <c:v>6.3635801246324943</c:v>
                </c:pt>
                <c:pt idx="7">
                  <c:v>3.4227628169132678</c:v>
                </c:pt>
                <c:pt idx="8">
                  <c:v>1.7253898038286608</c:v>
                </c:pt>
                <c:pt idx="9">
                  <c:v>0.82186480212643032</c:v>
                </c:pt>
                <c:pt idx="10">
                  <c:v>0.36822474006745404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4F-49E3-929C-9760CC505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63567"/>
        <c:axId val="73568367"/>
      </c:lineChart>
      <c:catAx>
        <c:axId val="7356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68367"/>
        <c:crosses val="autoZero"/>
        <c:auto val="1"/>
        <c:lblAlgn val="ctr"/>
        <c:lblOffset val="100"/>
        <c:noMultiLvlLbl val="0"/>
      </c:catAx>
      <c:valAx>
        <c:axId val="7356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63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Graphs</a:t>
            </a:r>
            <a:r>
              <a:rPr lang="fr-FR" baseline="0"/>
              <a:t> 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'BIN Graphs'!$G$19</c:f>
              <c:strCache>
                <c:ptCount val="1"/>
                <c:pt idx="0">
                  <c:v>Delta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'BIN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'BIN Graphs'!$G$20:$G$30</c:f>
              <c:numCache>
                <c:formatCode>General</c:formatCode>
                <c:ptCount val="11"/>
                <c:pt idx="0">
                  <c:v>1.1513019603833836E-4</c:v>
                </c:pt>
                <c:pt idx="1">
                  <c:v>3.8186848747117216E-3</c:v>
                </c:pt>
                <c:pt idx="2">
                  <c:v>2.7955403509212752E-2</c:v>
                </c:pt>
                <c:pt idx="3">
                  <c:v>0.10556137211697833</c:v>
                </c:pt>
                <c:pt idx="4">
                  <c:v>0.25781612650238495</c:v>
                </c:pt>
                <c:pt idx="5">
                  <c:v>0.44050737704892651</c:v>
                </c:pt>
                <c:pt idx="6">
                  <c:v>0.63656371140535206</c:v>
                </c:pt>
                <c:pt idx="7">
                  <c:v>0.77323164702648217</c:v>
                </c:pt>
                <c:pt idx="8">
                  <c:v>0.87503951634853538</c:v>
                </c:pt>
                <c:pt idx="9">
                  <c:v>0.93974681602591847</c:v>
                </c:pt>
                <c:pt idx="10">
                  <c:v>0.97148676055903616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6B-42EF-81FD-F5E62DAEB790}"/>
            </c:ext>
          </c:extLst>
        </c:ser>
        <c:ser>
          <c:idx val="1"/>
          <c:order val="1"/>
          <c:tx>
            <c:strRef>
              <c:f>'BIN Graphs'!$H$19</c:f>
              <c:strCache>
                <c:ptCount val="1"/>
                <c:pt idx="0">
                  <c:v>Delta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'BIN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'BIN Graphs'!$H$20:$H$30</c:f>
              <c:numCache>
                <c:formatCode>General</c:formatCode>
                <c:ptCount val="11"/>
                <c:pt idx="0">
                  <c:v>-0.99988486980392821</c:v>
                </c:pt>
                <c:pt idx="1">
                  <c:v>-0.99618131512527819</c:v>
                </c:pt>
                <c:pt idx="2">
                  <c:v>-0.97204459649077013</c:v>
                </c:pt>
                <c:pt idx="3">
                  <c:v>-0.89443862788300521</c:v>
                </c:pt>
                <c:pt idx="4">
                  <c:v>-0.74218387349761272</c:v>
                </c:pt>
                <c:pt idx="5">
                  <c:v>-0.55949262295106816</c:v>
                </c:pt>
                <c:pt idx="6">
                  <c:v>-0.36343628859463345</c:v>
                </c:pt>
                <c:pt idx="7">
                  <c:v>-0.22676835297351594</c:v>
                </c:pt>
                <c:pt idx="8">
                  <c:v>-0.12496048365146455</c:v>
                </c:pt>
                <c:pt idx="9">
                  <c:v>-6.0253183974074455E-2</c:v>
                </c:pt>
                <c:pt idx="10">
                  <c:v>-2.8513239440963272E-2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6B-42EF-81FD-F5E62DAEB790}"/>
            </c:ext>
          </c:extLst>
        </c:ser>
        <c:ser>
          <c:idx val="2"/>
          <c:order val="2"/>
          <c:tx>
            <c:strRef>
              <c:f>'BIN Graphs'!$I$19</c:f>
              <c:strCache>
                <c:ptCount val="1"/>
                <c:pt idx="0">
                  <c:v>Delta Call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'BIN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'BIN Graphs'!$I$20:$I$30</c:f>
              <c:numCache>
                <c:formatCode>General</c:formatCode>
                <c:ptCount val="11"/>
                <c:pt idx="0">
                  <c:v>1.1751096610414767E-4</c:v>
                </c:pt>
                <c:pt idx="1">
                  <c:v>3.886883937193027E-3</c:v>
                </c:pt>
                <c:pt idx="2">
                  <c:v>2.9100846314272656E-2</c:v>
                </c:pt>
                <c:pt idx="3">
                  <c:v>0.10951443376683488</c:v>
                </c:pt>
                <c:pt idx="4">
                  <c:v>0.27139044406097712</c:v>
                </c:pt>
                <c:pt idx="5">
                  <c:v>0.48258404175628167</c:v>
                </c:pt>
                <c:pt idx="6">
                  <c:v>0.7073677462522413</c:v>
                </c:pt>
                <c:pt idx="7">
                  <c:v>0.90130559717919245</c:v>
                </c:pt>
                <c:pt idx="8">
                  <c:v>1.0000000000000087</c:v>
                </c:pt>
                <c:pt idx="9">
                  <c:v>1.000000000000004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6B-42EF-81FD-F5E62DAEB790}"/>
            </c:ext>
          </c:extLst>
        </c:ser>
        <c:ser>
          <c:idx val="3"/>
          <c:order val="3"/>
          <c:tx>
            <c:strRef>
              <c:f>'BIN Graphs'!$J$19</c:f>
              <c:strCache>
                <c:ptCount val="1"/>
                <c:pt idx="0">
                  <c:v>Delta Put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'BIN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'BIN Graphs'!$J$20:$J$30</c:f>
              <c:numCache>
                <c:formatCode>General</c:formatCode>
                <c:ptCount val="11"/>
                <c:pt idx="0">
                  <c:v>-1</c:v>
                </c:pt>
                <c:pt idx="1">
                  <c:v>-1.0000000000000024</c:v>
                </c:pt>
                <c:pt idx="2">
                  <c:v>-1.000000000000004</c:v>
                </c:pt>
                <c:pt idx="3">
                  <c:v>-0.99999999999999645</c:v>
                </c:pt>
                <c:pt idx="4">
                  <c:v>-0.676823714932547</c:v>
                </c:pt>
                <c:pt idx="5">
                  <c:v>-0.41319153923031138</c:v>
                </c:pt>
                <c:pt idx="6">
                  <c:v>-0.21731332521846525</c:v>
                </c:pt>
                <c:pt idx="7">
                  <c:v>-0.11186008610771607</c:v>
                </c:pt>
                <c:pt idx="8">
                  <c:v>-5.1549024386287098E-2</c:v>
                </c:pt>
                <c:pt idx="9">
                  <c:v>-2.0938768749757013E-2</c:v>
                </c:pt>
                <c:pt idx="10">
                  <c:v>-8.6919740552054425E-3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6B-42EF-81FD-F5E62DAEB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812159"/>
        <c:axId val="1459815999"/>
      </c:lineChart>
      <c:catAx>
        <c:axId val="145981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9815999"/>
        <c:crosses val="autoZero"/>
        <c:auto val="1"/>
        <c:lblAlgn val="ctr"/>
        <c:lblOffset val="100"/>
        <c:noMultiLvlLbl val="0"/>
      </c:catAx>
      <c:valAx>
        <c:axId val="1459815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981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Graphs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'BIN Graphs'!$L$19</c:f>
              <c:strCache>
                <c:ptCount val="1"/>
                <c:pt idx="0">
                  <c:v>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'BIN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'BIN Graphs'!$L$20:$L$30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7-4B19-A133-5E1289AAB7FE}"/>
            </c:ext>
          </c:extLst>
        </c:ser>
        <c:ser>
          <c:idx val="1"/>
          <c:order val="1"/>
          <c:tx>
            <c:strRef>
              <c:f>'BIN Graphs'!$M$19</c:f>
              <c:strCache>
                <c:ptCount val="1"/>
                <c:pt idx="0">
                  <c:v>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'BIN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'BIN Graphs'!$M$20:$M$30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17-4B19-A133-5E1289AAB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2044463"/>
        <c:axId val="1972046863"/>
      </c:lineChart>
      <c:catAx>
        <c:axId val="197204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2046863"/>
        <c:crosses val="autoZero"/>
        <c:auto val="1"/>
        <c:lblAlgn val="ctr"/>
        <c:lblOffset val="100"/>
        <c:noMultiLvlLbl val="0"/>
      </c:catAx>
      <c:valAx>
        <c:axId val="197204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720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Graphs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'MC Graphs'!$B$19</c:f>
              <c:strCache>
                <c:ptCount val="1"/>
                <c:pt idx="0">
                  <c:v>Call EU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'MC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'MC Graphs'!$B$20:$B$30</c:f>
              <c:numCache>
                <c:formatCode>General</c:formatCode>
                <c:ptCount val="11"/>
                <c:pt idx="0">
                  <c:v>5.3242411148479857E-3</c:v>
                </c:pt>
                <c:pt idx="1">
                  <c:v>7.1515707505346596E-2</c:v>
                </c:pt>
                <c:pt idx="2">
                  <c:v>0.50611715084618281</c:v>
                </c:pt>
                <c:pt idx="3">
                  <c:v>1.9984329190210854</c:v>
                </c:pt>
                <c:pt idx="4">
                  <c:v>5.318322851259536</c:v>
                </c:pt>
                <c:pt idx="5">
                  <c:v>10.841236913719539</c:v>
                </c:pt>
                <c:pt idx="6">
                  <c:v>18.468180905739935</c:v>
                </c:pt>
                <c:pt idx="7">
                  <c:v>27.27990928592088</c:v>
                </c:pt>
                <c:pt idx="8">
                  <c:v>36.740490866189205</c:v>
                </c:pt>
                <c:pt idx="9">
                  <c:v>46.552816767780079</c:v>
                </c:pt>
                <c:pt idx="10">
                  <c:v>56.551083230467682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80-41FF-B959-BC18A38B91A7}"/>
            </c:ext>
          </c:extLst>
        </c:ser>
        <c:ser>
          <c:idx val="1"/>
          <c:order val="1"/>
          <c:tx>
            <c:strRef>
              <c:f>'MC Graphs'!$C$19</c:f>
              <c:strCache>
                <c:ptCount val="1"/>
                <c:pt idx="0">
                  <c:v>Put EU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'MC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'MC Graphs'!$C$20:$C$30</c:f>
              <c:numCache>
                <c:formatCode>General</c:formatCode>
                <c:ptCount val="11"/>
                <c:pt idx="0">
                  <c:v>44.635911286369023</c:v>
                </c:pt>
                <c:pt idx="1">
                  <c:v>34.594840046761547</c:v>
                </c:pt>
                <c:pt idx="2">
                  <c:v>24.922178784104418</c:v>
                </c:pt>
                <c:pt idx="3">
                  <c:v>16.307231846281329</c:v>
                </c:pt>
                <c:pt idx="4">
                  <c:v>9.5198590725218359</c:v>
                </c:pt>
                <c:pt idx="5">
                  <c:v>4.9355104289838492</c:v>
                </c:pt>
                <c:pt idx="6">
                  <c:v>2.4551917150062721</c:v>
                </c:pt>
                <c:pt idx="7">
                  <c:v>1.1596573891892739</c:v>
                </c:pt>
                <c:pt idx="8">
                  <c:v>0.51297626345961889</c:v>
                </c:pt>
                <c:pt idx="9">
                  <c:v>0.21803945905255584</c:v>
                </c:pt>
                <c:pt idx="10">
                  <c:v>0.10904321574211924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80-41FF-B959-BC18A38B91A7}"/>
            </c:ext>
          </c:extLst>
        </c:ser>
        <c:ser>
          <c:idx val="2"/>
          <c:order val="2"/>
          <c:tx>
            <c:strRef>
              <c:f>'MC Graphs'!$D$19</c:f>
              <c:strCache>
                <c:ptCount val="1"/>
                <c:pt idx="0">
                  <c:v>Call US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'MC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'MC Graphs'!$D$20:$D$30</c:f>
              <c:numCache>
                <c:formatCode>General</c:formatCode>
                <c:ptCount val="11"/>
                <c:pt idx="0">
                  <c:v>5.4581458595762142E-3</c:v>
                </c:pt>
                <c:pt idx="1">
                  <c:v>8.0407397103811326E-2</c:v>
                </c:pt>
                <c:pt idx="2">
                  <c:v>0.54443009712927837</c:v>
                </c:pt>
                <c:pt idx="3">
                  <c:v>2.1469219673931392</c:v>
                </c:pt>
                <c:pt idx="4">
                  <c:v>5.944936445405169</c:v>
                </c:pt>
                <c:pt idx="5">
                  <c:v>11.299073671432554</c:v>
                </c:pt>
                <c:pt idx="6">
                  <c:v>18.622590659875602</c:v>
                </c:pt>
                <c:pt idx="7">
                  <c:v>27.86186166169394</c:v>
                </c:pt>
                <c:pt idx="8">
                  <c:v>37.108596267657965</c:v>
                </c:pt>
                <c:pt idx="9">
                  <c:v>48.432848630964138</c:v>
                </c:pt>
                <c:pt idx="10">
                  <c:v>56.764204512461724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80-41FF-B959-BC18A38B91A7}"/>
            </c:ext>
          </c:extLst>
        </c:ser>
        <c:ser>
          <c:idx val="3"/>
          <c:order val="3"/>
          <c:tx>
            <c:strRef>
              <c:f>'MC Graphs'!$E$19</c:f>
              <c:strCache>
                <c:ptCount val="1"/>
                <c:pt idx="0">
                  <c:v>Put US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'MC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'MC Graphs'!$E$20:$E$30</c:f>
              <c:numCache>
                <c:formatCode>General</c:formatCode>
                <c:ptCount val="11"/>
                <c:pt idx="0">
                  <c:v>44.678344344104943</c:v>
                </c:pt>
                <c:pt idx="1">
                  <c:v>34.649554100492821</c:v>
                </c:pt>
                <c:pt idx="2">
                  <c:v>24.999900993028735</c:v>
                </c:pt>
                <c:pt idx="3">
                  <c:v>16.502092092597564</c:v>
                </c:pt>
                <c:pt idx="4">
                  <c:v>9.8264890532421649</c:v>
                </c:pt>
                <c:pt idx="5">
                  <c:v>5.3942108616391007</c:v>
                </c:pt>
                <c:pt idx="6">
                  <c:v>2.7887251974045992</c:v>
                </c:pt>
                <c:pt idx="7">
                  <c:v>1.286561850212173</c:v>
                </c:pt>
                <c:pt idx="8">
                  <c:v>0.5618279575002707</c:v>
                </c:pt>
                <c:pt idx="9">
                  <c:v>0.24293492093003757</c:v>
                </c:pt>
                <c:pt idx="10">
                  <c:v>0.12110928835721313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80-41FF-B959-BC18A38B9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272335"/>
        <c:axId val="76265135"/>
      </c:lineChart>
      <c:catAx>
        <c:axId val="7627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265135"/>
        <c:crosses val="autoZero"/>
        <c:auto val="1"/>
        <c:lblAlgn val="ctr"/>
        <c:lblOffset val="100"/>
        <c:noMultiLvlLbl val="0"/>
      </c:catAx>
      <c:valAx>
        <c:axId val="7626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27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Graphs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'MC Graphs'!$G$19</c:f>
              <c:strCache>
                <c:ptCount val="1"/>
                <c:pt idx="0">
                  <c:v>Delta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'MC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'MC Graphs'!$G$20:$G$30</c:f>
              <c:numCache>
                <c:formatCode>General</c:formatCode>
                <c:ptCount val="11"/>
                <c:pt idx="0">
                  <c:v>3.9131608453060844E-3</c:v>
                </c:pt>
                <c:pt idx="1">
                  <c:v>1.3880848535121974E-2</c:v>
                </c:pt>
                <c:pt idx="2">
                  <c:v>9.4389248702727926E-2</c:v>
                </c:pt>
                <c:pt idx="3">
                  <c:v>0.22525619629660043</c:v>
                </c:pt>
                <c:pt idx="4">
                  <c:v>0.43221310360582765</c:v>
                </c:pt>
                <c:pt idx="5">
                  <c:v>0.67603189930574281</c:v>
                </c:pt>
                <c:pt idx="6">
                  <c:v>0.83723195403297324</c:v>
                </c:pt>
                <c:pt idx="7">
                  <c:v>0.91895719070021809</c:v>
                </c:pt>
                <c:pt idx="8">
                  <c:v>0.96765292125563618</c:v>
                </c:pt>
                <c:pt idx="9">
                  <c:v>0.99370670876563327</c:v>
                </c:pt>
                <c:pt idx="10">
                  <c:v>1.0028991693062939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0F-4BBB-984B-0F42234A0DFA}"/>
            </c:ext>
          </c:extLst>
        </c:ser>
        <c:ser>
          <c:idx val="1"/>
          <c:order val="1"/>
          <c:tx>
            <c:strRef>
              <c:f>'MC Graphs'!$H$19</c:f>
              <c:strCache>
                <c:ptCount val="1"/>
                <c:pt idx="0">
                  <c:v>Delta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'MC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'MC Graphs'!$H$20:$H$30</c:f>
              <c:numCache>
                <c:formatCode>General</c:formatCode>
                <c:ptCount val="11"/>
                <c:pt idx="0">
                  <c:v>-1.0068131097544537</c:v>
                </c:pt>
                <c:pt idx="1">
                  <c:v>-0.99684542206466276</c:v>
                </c:pt>
                <c:pt idx="2">
                  <c:v>-0.91633702189709143</c:v>
                </c:pt>
                <c:pt idx="3">
                  <c:v>-0.78547007430317617</c:v>
                </c:pt>
                <c:pt idx="4">
                  <c:v>-0.57851316699397293</c:v>
                </c:pt>
                <c:pt idx="5">
                  <c:v>-0.33469437129405311</c:v>
                </c:pt>
                <c:pt idx="6">
                  <c:v>-0.17349431656681891</c:v>
                </c:pt>
                <c:pt idx="7">
                  <c:v>-9.1769079899581829E-2</c:v>
                </c:pt>
                <c:pt idx="8">
                  <c:v>-4.3073349344196613E-2</c:v>
                </c:pt>
                <c:pt idx="9">
                  <c:v>-1.7019561834175998E-2</c:v>
                </c:pt>
                <c:pt idx="10">
                  <c:v>-7.8271012934991863E-3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0F-4BBB-984B-0F42234A0DFA}"/>
            </c:ext>
          </c:extLst>
        </c:ser>
        <c:ser>
          <c:idx val="2"/>
          <c:order val="2"/>
          <c:tx>
            <c:strRef>
              <c:f>'MC Graphs'!$I$19</c:f>
              <c:strCache>
                <c:ptCount val="1"/>
                <c:pt idx="0">
                  <c:v>Delta Call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'MC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'MC Graphs'!$I$20:$I$30</c:f>
              <c:numCache>
                <c:formatCode>General</c:formatCode>
                <c:ptCount val="11"/>
                <c:pt idx="0">
                  <c:v>3.7808534875693419E-3</c:v>
                </c:pt>
                <c:pt idx="1">
                  <c:v>9.7972029733110408E-3</c:v>
                </c:pt>
                <c:pt idx="2">
                  <c:v>9.3902865575686306E-2</c:v>
                </c:pt>
                <c:pt idx="3">
                  <c:v>0.25725156163780943</c:v>
                </c:pt>
                <c:pt idx="4">
                  <c:v>0.42111082476009115</c:v>
                </c:pt>
                <c:pt idx="5">
                  <c:v>0.59982156407666043</c:v>
                </c:pt>
                <c:pt idx="6">
                  <c:v>0.78075865380205267</c:v>
                </c:pt>
                <c:pt idx="7">
                  <c:v>0.49205243570002555</c:v>
                </c:pt>
                <c:pt idx="8">
                  <c:v>0.80792778401844267</c:v>
                </c:pt>
                <c:pt idx="9">
                  <c:v>0.54731244583828287</c:v>
                </c:pt>
                <c:pt idx="10">
                  <c:v>1.1704658438185451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0F-4BBB-984B-0F42234A0DFA}"/>
            </c:ext>
          </c:extLst>
        </c:ser>
        <c:ser>
          <c:idx val="3"/>
          <c:order val="3"/>
          <c:tx>
            <c:strRef>
              <c:f>'MC Graphs'!$J$19</c:f>
              <c:strCache>
                <c:ptCount val="1"/>
                <c:pt idx="0">
                  <c:v>Delta Put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'MC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'MC Graphs'!$J$20:$J$30</c:f>
              <c:numCache>
                <c:formatCode>General</c:formatCode>
                <c:ptCount val="11"/>
                <c:pt idx="0">
                  <c:v>-1.006746482860521</c:v>
                </c:pt>
                <c:pt idx="1">
                  <c:v>-0.99185673777305661</c:v>
                </c:pt>
                <c:pt idx="2">
                  <c:v>-0.92075657394920429</c:v>
                </c:pt>
                <c:pt idx="3">
                  <c:v>-0.76531807258021556</c:v>
                </c:pt>
                <c:pt idx="4">
                  <c:v>-0.58634767597066917</c:v>
                </c:pt>
                <c:pt idx="5">
                  <c:v>-0.31070687420794885</c:v>
                </c:pt>
                <c:pt idx="6">
                  <c:v>-0.18207098476928169</c:v>
                </c:pt>
                <c:pt idx="7">
                  <c:v>-0.10848981364328122</c:v>
                </c:pt>
                <c:pt idx="8">
                  <c:v>-4.504449525806048E-2</c:v>
                </c:pt>
                <c:pt idx="9">
                  <c:v>-1.8561036378747685E-2</c:v>
                </c:pt>
                <c:pt idx="10">
                  <c:v>-6.39574570954123E-3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0F-4BBB-984B-0F42234A0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63087"/>
        <c:axId val="73562607"/>
      </c:lineChart>
      <c:catAx>
        <c:axId val="73563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62607"/>
        <c:crosses val="autoZero"/>
        <c:auto val="1"/>
        <c:lblAlgn val="ctr"/>
        <c:lblOffset val="100"/>
        <c:noMultiLvlLbl val="0"/>
      </c:catAx>
      <c:valAx>
        <c:axId val="7356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63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Graphs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'MC Graphs'!$L$19</c:f>
              <c:strCache>
                <c:ptCount val="1"/>
                <c:pt idx="0">
                  <c:v>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'MC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'MC Graphs'!$L$20:$L$30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E-499C-BEFB-80822A663265}"/>
            </c:ext>
          </c:extLst>
        </c:ser>
        <c:ser>
          <c:idx val="1"/>
          <c:order val="1"/>
          <c:tx>
            <c:strRef>
              <c:f>'MC Graphs'!$M$19</c:f>
              <c:strCache>
                <c:ptCount val="1"/>
                <c:pt idx="0">
                  <c:v>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'MC Graphs'!$A$20:$A$30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'MC Graphs'!$M$20:$M$30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E-499C-BEFB-80822A663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70655"/>
        <c:axId val="77071135"/>
      </c:lineChart>
      <c:catAx>
        <c:axId val="77070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071135"/>
        <c:crosses val="autoZero"/>
        <c:auto val="1"/>
        <c:lblAlgn val="ctr"/>
        <c:lblOffset val="100"/>
        <c:noMultiLvlLbl val="0"/>
      </c:catAx>
      <c:valAx>
        <c:axId val="7707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070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5</xdr:row>
          <xdr:rowOff>53340</xdr:rowOff>
        </xdr:from>
        <xdr:to>
          <xdr:col>7</xdr:col>
          <xdr:colOff>571500</xdr:colOff>
          <xdr:row>8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Yield Curve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365760</xdr:colOff>
      <xdr:row>9</xdr:row>
      <xdr:rowOff>106680</xdr:rowOff>
    </xdr:from>
    <xdr:to>
      <xdr:col>9</xdr:col>
      <xdr:colOff>533400</xdr:colOff>
      <xdr:row>21</xdr:row>
      <xdr:rowOff>121920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5589BF4-566F-DA8D-D161-1C47463C63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0</xdr:row>
      <xdr:rowOff>0</xdr:rowOff>
    </xdr:from>
    <xdr:to>
      <xdr:col>8</xdr:col>
      <xdr:colOff>38100</xdr:colOff>
      <xdr:row>9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659C57F-2A76-A43B-1D39-3B7C41CF82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45720</xdr:colOff>
      <xdr:row>0</xdr:row>
      <xdr:rowOff>3810</xdr:rowOff>
    </xdr:from>
    <xdr:to>
      <xdr:col>13</xdr:col>
      <xdr:colOff>243840</xdr:colOff>
      <xdr:row>9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E8BED83-4A24-666F-13AD-B418EC0B7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2</xdr:row>
          <xdr:rowOff>182880</xdr:rowOff>
        </xdr:from>
        <xdr:to>
          <xdr:col>14</xdr:col>
          <xdr:colOff>784860</xdr:colOff>
          <xdr:row>7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777240</xdr:colOff>
          <xdr:row>2</xdr:row>
          <xdr:rowOff>160020</xdr:rowOff>
        </xdr:from>
        <xdr:to>
          <xdr:col>6</xdr:col>
          <xdr:colOff>784860</xdr:colOff>
          <xdr:row>6</xdr:row>
          <xdr:rowOff>182880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30</xdr:row>
      <xdr:rowOff>34290</xdr:rowOff>
    </xdr:from>
    <xdr:to>
      <xdr:col>5</xdr:col>
      <xdr:colOff>45720</xdr:colOff>
      <xdr:row>45</xdr:row>
      <xdr:rowOff>34290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C69E54D-8D6C-1EFB-882D-6C6282AE18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</xdr:colOff>
      <xdr:row>30</xdr:row>
      <xdr:rowOff>26670</xdr:rowOff>
    </xdr:from>
    <xdr:to>
      <xdr:col>10</xdr:col>
      <xdr:colOff>678180</xdr:colOff>
      <xdr:row>45</xdr:row>
      <xdr:rowOff>26670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FBAEC5D-E2E0-11DA-4EF2-BDEDFC3F27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693420</xdr:colOff>
      <xdr:row>30</xdr:row>
      <xdr:rowOff>26670</xdr:rowOff>
    </xdr:from>
    <xdr:to>
      <xdr:col>16</xdr:col>
      <xdr:colOff>510540</xdr:colOff>
      <xdr:row>45</xdr:row>
      <xdr:rowOff>26670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176FBD8-A1AA-272F-1D37-4B6CF82F35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784860</xdr:colOff>
          <xdr:row>2</xdr:row>
          <xdr:rowOff>190500</xdr:rowOff>
        </xdr:from>
        <xdr:to>
          <xdr:col>15</xdr:col>
          <xdr:colOff>0</xdr:colOff>
          <xdr:row>7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777240</xdr:colOff>
          <xdr:row>3</xdr:row>
          <xdr:rowOff>0</xdr:rowOff>
        </xdr:from>
        <xdr:to>
          <xdr:col>6</xdr:col>
          <xdr:colOff>784860</xdr:colOff>
          <xdr:row>7</xdr:row>
          <xdr:rowOff>22860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22860</xdr:colOff>
      <xdr:row>30</xdr:row>
      <xdr:rowOff>11430</xdr:rowOff>
    </xdr:from>
    <xdr:to>
      <xdr:col>5</xdr:col>
      <xdr:colOff>68580</xdr:colOff>
      <xdr:row>45</xdr:row>
      <xdr:rowOff>11430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0D0DA9F-F9F9-83CC-B0A2-6DAD154789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441960</xdr:colOff>
      <xdr:row>30</xdr:row>
      <xdr:rowOff>64770</xdr:rowOff>
    </xdr:from>
    <xdr:to>
      <xdr:col>11</xdr:col>
      <xdr:colOff>259080</xdr:colOff>
      <xdr:row>45</xdr:row>
      <xdr:rowOff>64770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86718A-6BC6-22A8-4E1D-51F597E21A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297180</xdr:colOff>
      <xdr:row>30</xdr:row>
      <xdr:rowOff>49530</xdr:rowOff>
    </xdr:from>
    <xdr:to>
      <xdr:col>17</xdr:col>
      <xdr:colOff>114300</xdr:colOff>
      <xdr:row>45</xdr:row>
      <xdr:rowOff>49530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71857F0-773F-E484-C159-7E17F0B74E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15</xdr:col>
          <xdr:colOff>7620</xdr:colOff>
          <xdr:row>7</xdr:row>
          <xdr:rowOff>15240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434340</xdr:colOff>
          <xdr:row>4</xdr:row>
          <xdr:rowOff>7620</xdr:rowOff>
        </xdr:from>
        <xdr:to>
          <xdr:col>6</xdr:col>
          <xdr:colOff>441960</xdr:colOff>
          <xdr:row>8</xdr:row>
          <xdr:rowOff>22860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167640</xdr:colOff>
      <xdr:row>30</xdr:row>
      <xdr:rowOff>11430</xdr:rowOff>
    </xdr:from>
    <xdr:to>
      <xdr:col>5</xdr:col>
      <xdr:colOff>213360</xdr:colOff>
      <xdr:row>45</xdr:row>
      <xdr:rowOff>11430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1569971-2897-2FB7-9547-D69DA097E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327660</xdr:colOff>
      <xdr:row>30</xdr:row>
      <xdr:rowOff>64770</xdr:rowOff>
    </xdr:from>
    <xdr:to>
      <xdr:col>11</xdr:col>
      <xdr:colOff>144780</xdr:colOff>
      <xdr:row>45</xdr:row>
      <xdr:rowOff>64770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54C0F9E-A824-384C-1415-89C6A648BA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190500</xdr:colOff>
      <xdr:row>30</xdr:row>
      <xdr:rowOff>64770</xdr:rowOff>
    </xdr:from>
    <xdr:to>
      <xdr:col>17</xdr:col>
      <xdr:colOff>7620</xdr:colOff>
      <xdr:row>45</xdr:row>
      <xdr:rowOff>64770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8B6307-36BA-3A8F-A252-439D7ABD1C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26"/>
  <sheetViews>
    <sheetView topLeftCell="A2" workbookViewId="0">
      <selection activeCell="B2" sqref="B2:B22"/>
    </sheetView>
  </sheetViews>
  <sheetFormatPr baseColWidth="10" defaultColWidth="8.88671875" defaultRowHeight="14.4" x14ac:dyDescent="0.3"/>
  <cols>
    <col min="12" max="12" width="8.88671875" customWidth="1"/>
    <col min="13" max="13" width="16.77734375" bestFit="1" customWidth="1"/>
  </cols>
  <sheetData>
    <row r="1" spans="1:15" ht="25.8" x14ac:dyDescent="0.5">
      <c r="A1" s="18" t="s">
        <v>0</v>
      </c>
      <c r="B1" s="18" t="s">
        <v>1</v>
      </c>
      <c r="C1" s="36"/>
      <c r="D1" s="37"/>
      <c r="E1" s="37"/>
      <c r="F1" s="38" t="s">
        <v>27</v>
      </c>
      <c r="G1" s="37"/>
      <c r="H1" s="37"/>
      <c r="I1" s="37"/>
      <c r="J1" s="37"/>
      <c r="K1" s="37"/>
      <c r="L1" s="36"/>
      <c r="M1" s="38" t="s">
        <v>40</v>
      </c>
      <c r="N1" s="37"/>
      <c r="O1" s="39"/>
    </row>
    <row r="2" spans="1:15" x14ac:dyDescent="0.3">
      <c r="A2" s="5">
        <v>0</v>
      </c>
      <c r="B2" s="6">
        <v>-0.05</v>
      </c>
      <c r="C2" s="57" t="s">
        <v>28</v>
      </c>
      <c r="D2" s="58"/>
      <c r="E2" s="58"/>
      <c r="F2" s="58"/>
      <c r="G2" s="58"/>
      <c r="H2" s="58"/>
      <c r="I2" s="58"/>
      <c r="J2" s="58"/>
      <c r="K2" s="59"/>
      <c r="L2" s="50"/>
      <c r="M2" s="51"/>
      <c r="N2" s="51"/>
      <c r="O2" s="52"/>
    </row>
    <row r="3" spans="1:15" x14ac:dyDescent="0.3">
      <c r="A3" s="5">
        <f>A2+0.05</f>
        <v>0.05</v>
      </c>
      <c r="B3" s="6">
        <v>-0.05</v>
      </c>
      <c r="C3" s="60" t="s">
        <v>29</v>
      </c>
      <c r="D3" s="51"/>
      <c r="E3" s="51"/>
      <c r="F3" s="51"/>
      <c r="G3" s="51"/>
      <c r="H3" s="51"/>
      <c r="I3" s="51"/>
      <c r="J3" s="51"/>
      <c r="K3" s="52"/>
      <c r="L3" s="50"/>
      <c r="M3" s="51"/>
      <c r="N3" s="51"/>
      <c r="O3" s="52"/>
    </row>
    <row r="4" spans="1:15" ht="18" x14ac:dyDescent="0.35">
      <c r="A4" s="5">
        <f t="shared" ref="A4:A22" si="0">A3+0.05</f>
        <v>0.1</v>
      </c>
      <c r="B4" s="6">
        <v>-0.05</v>
      </c>
      <c r="C4" s="60" t="s">
        <v>30</v>
      </c>
      <c r="D4" s="51"/>
      <c r="E4" s="51"/>
      <c r="F4" s="51"/>
      <c r="G4" s="51"/>
      <c r="H4" s="51"/>
      <c r="I4" s="51"/>
      <c r="J4" s="51"/>
      <c r="K4" s="52"/>
      <c r="L4" s="50"/>
      <c r="M4" s="61" t="s">
        <v>41</v>
      </c>
      <c r="N4" s="62" t="str">
        <f>HYPERLINK("#'B&amp;S'!A1", "B&amp;S")</f>
        <v>B&amp;S</v>
      </c>
      <c r="O4" s="52"/>
    </row>
    <row r="5" spans="1:15" ht="18" x14ac:dyDescent="0.35">
      <c r="A5" s="5">
        <f t="shared" si="0"/>
        <v>0.15000000000000002</v>
      </c>
      <c r="B5" s="6">
        <v>-0.05</v>
      </c>
      <c r="C5" s="50"/>
      <c r="D5" s="51"/>
      <c r="E5" s="51"/>
      <c r="F5" s="51"/>
      <c r="G5" s="51"/>
      <c r="H5" s="51"/>
      <c r="I5" s="51"/>
      <c r="J5" s="51"/>
      <c r="K5" s="52"/>
      <c r="L5" s="51"/>
      <c r="M5" s="53"/>
      <c r="N5" s="63"/>
      <c r="O5" s="52"/>
    </row>
    <row r="6" spans="1:15" ht="18" x14ac:dyDescent="0.35">
      <c r="A6" s="5">
        <f t="shared" si="0"/>
        <v>0.2</v>
      </c>
      <c r="B6" s="6">
        <v>-0.05</v>
      </c>
      <c r="C6" s="50"/>
      <c r="D6" s="51"/>
      <c r="E6" s="51"/>
      <c r="F6" s="51"/>
      <c r="G6" s="51"/>
      <c r="H6" s="51"/>
      <c r="I6" s="51"/>
      <c r="J6" s="51"/>
      <c r="K6" s="52"/>
      <c r="L6" s="50"/>
      <c r="M6" s="61" t="s">
        <v>42</v>
      </c>
      <c r="N6" s="62" t="str">
        <f>HYPERLINK("#CN!A1", "CN")</f>
        <v>CN</v>
      </c>
      <c r="O6" s="52"/>
    </row>
    <row r="7" spans="1:15" ht="18" x14ac:dyDescent="0.35">
      <c r="A7" s="5">
        <f t="shared" si="0"/>
        <v>0.25</v>
      </c>
      <c r="B7" s="6">
        <v>-0.05</v>
      </c>
      <c r="C7" s="50"/>
      <c r="D7" s="51"/>
      <c r="E7" s="51"/>
      <c r="F7" s="51"/>
      <c r="G7" s="51"/>
      <c r="H7" s="51"/>
      <c r="I7" s="51"/>
      <c r="J7" s="51"/>
      <c r="K7" s="52"/>
      <c r="L7" s="51"/>
      <c r="M7" s="53"/>
      <c r="N7" s="63"/>
      <c r="O7" s="52"/>
    </row>
    <row r="8" spans="1:15" ht="18" x14ac:dyDescent="0.35">
      <c r="A8" s="5">
        <f t="shared" si="0"/>
        <v>0.3</v>
      </c>
      <c r="B8" s="6">
        <v>-0.05</v>
      </c>
      <c r="C8" s="50"/>
      <c r="D8" s="51"/>
      <c r="E8" s="51"/>
      <c r="F8" s="51"/>
      <c r="G8" s="51"/>
      <c r="H8" s="51"/>
      <c r="I8" s="51"/>
      <c r="J8" s="51"/>
      <c r="K8" s="52"/>
      <c r="L8" s="50"/>
      <c r="M8" s="61" t="s">
        <v>43</v>
      </c>
      <c r="N8" s="62" t="str">
        <f>HYPERLINK("#BIN!A1", "BIN")</f>
        <v>BIN</v>
      </c>
      <c r="O8" s="52"/>
    </row>
    <row r="9" spans="1:15" ht="18" x14ac:dyDescent="0.35">
      <c r="A9" s="5">
        <f t="shared" si="0"/>
        <v>0.35</v>
      </c>
      <c r="B9" s="6">
        <v>-0.05</v>
      </c>
      <c r="C9" s="50"/>
      <c r="D9" s="51"/>
      <c r="E9" s="51"/>
      <c r="F9" s="51"/>
      <c r="G9" s="51"/>
      <c r="H9" s="51"/>
      <c r="I9" s="51"/>
      <c r="J9" s="51"/>
      <c r="K9" s="52"/>
      <c r="L9" s="51"/>
      <c r="M9" s="53"/>
      <c r="N9" s="63"/>
      <c r="O9" s="52"/>
    </row>
    <row r="10" spans="1:15" ht="18" x14ac:dyDescent="0.35">
      <c r="A10" s="5">
        <f t="shared" si="0"/>
        <v>0.39999999999999997</v>
      </c>
      <c r="B10" s="6">
        <v>-0.05</v>
      </c>
      <c r="C10" s="50"/>
      <c r="D10" s="51"/>
      <c r="E10" s="51"/>
      <c r="F10" s="51"/>
      <c r="G10" s="51"/>
      <c r="H10" s="51"/>
      <c r="I10" s="51"/>
      <c r="J10" s="51"/>
      <c r="K10" s="52"/>
      <c r="L10" s="50"/>
      <c r="M10" s="61" t="s">
        <v>44</v>
      </c>
      <c r="N10" s="62" t="str">
        <f>HYPERLINK("#MC!A1", "MC")</f>
        <v>MC</v>
      </c>
      <c r="O10" s="52"/>
    </row>
    <row r="11" spans="1:15" x14ac:dyDescent="0.3">
      <c r="A11" s="5">
        <f t="shared" si="0"/>
        <v>0.44999999999999996</v>
      </c>
      <c r="B11" s="6">
        <v>-0.05</v>
      </c>
      <c r="C11" s="50"/>
      <c r="D11" s="51"/>
      <c r="E11" s="51"/>
      <c r="F11" s="51"/>
      <c r="G11" s="51"/>
      <c r="H11" s="51"/>
      <c r="I11" s="51"/>
      <c r="J11" s="51"/>
      <c r="K11" s="52"/>
      <c r="L11" s="50"/>
      <c r="M11" s="51"/>
      <c r="N11" s="51"/>
      <c r="O11" s="52"/>
    </row>
    <row r="12" spans="1:15" x14ac:dyDescent="0.3">
      <c r="A12" s="5">
        <f t="shared" si="0"/>
        <v>0.49999999999999994</v>
      </c>
      <c r="B12" s="6">
        <v>-0.05</v>
      </c>
      <c r="C12" s="50"/>
      <c r="D12" s="51"/>
      <c r="E12" s="51"/>
      <c r="F12" s="51"/>
      <c r="G12" s="51"/>
      <c r="H12" s="51"/>
      <c r="I12" s="51"/>
      <c r="J12" s="51"/>
      <c r="K12" s="52"/>
      <c r="L12" s="50"/>
      <c r="M12" s="51"/>
      <c r="N12" s="51"/>
      <c r="O12" s="52"/>
    </row>
    <row r="13" spans="1:15" x14ac:dyDescent="0.3">
      <c r="A13" s="5">
        <f t="shared" si="0"/>
        <v>0.54999999999999993</v>
      </c>
      <c r="B13" s="6">
        <v>-0.05</v>
      </c>
      <c r="C13" s="50"/>
      <c r="D13" s="51"/>
      <c r="E13" s="51"/>
      <c r="F13" s="51"/>
      <c r="G13" s="51"/>
      <c r="H13" s="51"/>
      <c r="I13" s="51"/>
      <c r="J13" s="51"/>
      <c r="K13" s="52"/>
      <c r="L13" s="50"/>
      <c r="M13" s="51"/>
      <c r="N13" s="51"/>
      <c r="O13" s="52"/>
    </row>
    <row r="14" spans="1:15" x14ac:dyDescent="0.3">
      <c r="A14" s="5">
        <f t="shared" si="0"/>
        <v>0.6</v>
      </c>
      <c r="B14" s="6">
        <v>-0.05</v>
      </c>
      <c r="C14" s="50"/>
      <c r="D14" s="51"/>
      <c r="E14" s="51"/>
      <c r="F14" s="51"/>
      <c r="G14" s="51"/>
      <c r="H14" s="51"/>
      <c r="I14" s="51"/>
      <c r="J14" s="51"/>
      <c r="K14" s="52"/>
      <c r="L14" s="50"/>
      <c r="M14" s="51"/>
      <c r="N14" s="51"/>
      <c r="O14" s="52"/>
    </row>
    <row r="15" spans="1:15" x14ac:dyDescent="0.3">
      <c r="A15" s="5">
        <f t="shared" si="0"/>
        <v>0.65</v>
      </c>
      <c r="B15" s="6">
        <v>-0.05</v>
      </c>
      <c r="C15" s="50"/>
      <c r="D15" s="51"/>
      <c r="E15" s="51"/>
      <c r="F15" s="51"/>
      <c r="G15" s="51"/>
      <c r="H15" s="51"/>
      <c r="I15" s="51"/>
      <c r="J15" s="51"/>
      <c r="K15" s="52"/>
      <c r="L15" s="50"/>
      <c r="M15" s="51"/>
      <c r="N15" s="51"/>
      <c r="O15" s="52"/>
    </row>
    <row r="16" spans="1:15" x14ac:dyDescent="0.3">
      <c r="A16" s="5">
        <f t="shared" si="0"/>
        <v>0.70000000000000007</v>
      </c>
      <c r="B16" s="6">
        <v>-0.05</v>
      </c>
      <c r="C16" s="50"/>
      <c r="D16" s="51"/>
      <c r="E16" s="51"/>
      <c r="F16" s="51"/>
      <c r="G16" s="51"/>
      <c r="H16" s="51"/>
      <c r="I16" s="51"/>
      <c r="J16" s="51"/>
      <c r="K16" s="52"/>
      <c r="L16" s="50"/>
      <c r="M16" s="51"/>
      <c r="N16" s="51"/>
      <c r="O16" s="52"/>
    </row>
    <row r="17" spans="1:15" x14ac:dyDescent="0.3">
      <c r="A17" s="5">
        <f t="shared" si="0"/>
        <v>0.75000000000000011</v>
      </c>
      <c r="B17" s="6">
        <v>-0.05</v>
      </c>
      <c r="C17" s="50"/>
      <c r="D17" s="51"/>
      <c r="E17" s="51"/>
      <c r="F17" s="51"/>
      <c r="G17" s="51"/>
      <c r="H17" s="51"/>
      <c r="I17" s="51"/>
      <c r="J17" s="51"/>
      <c r="K17" s="52"/>
      <c r="L17" s="50"/>
      <c r="M17" s="51"/>
      <c r="N17" s="51"/>
      <c r="O17" s="52"/>
    </row>
    <row r="18" spans="1:15" x14ac:dyDescent="0.3">
      <c r="A18" s="5">
        <f t="shared" si="0"/>
        <v>0.80000000000000016</v>
      </c>
      <c r="B18" s="6">
        <v>-0.05</v>
      </c>
      <c r="C18" s="50"/>
      <c r="D18" s="51"/>
      <c r="E18" s="51"/>
      <c r="F18" s="51"/>
      <c r="G18" s="51"/>
      <c r="H18" s="51"/>
      <c r="I18" s="51"/>
      <c r="J18" s="51"/>
      <c r="K18" s="52"/>
      <c r="L18" s="50"/>
      <c r="M18" s="51"/>
      <c r="N18" s="51"/>
      <c r="O18" s="52"/>
    </row>
    <row r="19" spans="1:15" x14ac:dyDescent="0.3">
      <c r="A19" s="5">
        <f t="shared" si="0"/>
        <v>0.8500000000000002</v>
      </c>
      <c r="B19" s="6">
        <v>-0.05</v>
      </c>
      <c r="C19" s="50"/>
      <c r="D19" s="51"/>
      <c r="E19" s="51"/>
      <c r="F19" s="51"/>
      <c r="G19" s="51"/>
      <c r="H19" s="51"/>
      <c r="I19" s="51"/>
      <c r="J19" s="51"/>
      <c r="K19" s="52"/>
      <c r="L19" s="50"/>
      <c r="M19" s="51"/>
      <c r="N19" s="51"/>
      <c r="O19" s="52"/>
    </row>
    <row r="20" spans="1:15" x14ac:dyDescent="0.3">
      <c r="A20" s="5">
        <f>A19+0.05</f>
        <v>0.90000000000000024</v>
      </c>
      <c r="B20" s="6">
        <v>-0.05</v>
      </c>
      <c r="C20" s="50"/>
      <c r="D20" s="51"/>
      <c r="E20" s="51"/>
      <c r="F20" s="51"/>
      <c r="G20" s="51"/>
      <c r="H20" s="51"/>
      <c r="I20" s="51"/>
      <c r="J20" s="51"/>
      <c r="K20" s="52"/>
      <c r="L20" s="50"/>
      <c r="M20" s="51"/>
      <c r="N20" s="51"/>
      <c r="O20" s="52"/>
    </row>
    <row r="21" spans="1:15" x14ac:dyDescent="0.3">
      <c r="A21" s="5">
        <f t="shared" si="0"/>
        <v>0.95000000000000029</v>
      </c>
      <c r="B21" s="6">
        <v>-0.05</v>
      </c>
      <c r="C21" s="50"/>
      <c r="D21" s="51"/>
      <c r="E21" s="51"/>
      <c r="F21" s="51"/>
      <c r="G21" s="51"/>
      <c r="H21" s="51"/>
      <c r="I21" s="51"/>
      <c r="J21" s="51"/>
      <c r="K21" s="52"/>
      <c r="L21" s="50"/>
      <c r="M21" s="51"/>
      <c r="N21" s="51"/>
      <c r="O21" s="52"/>
    </row>
    <row r="22" spans="1:15" x14ac:dyDescent="0.3">
      <c r="A22" s="5">
        <f t="shared" si="0"/>
        <v>1.0000000000000002</v>
      </c>
      <c r="B22" s="6">
        <v>-0.05</v>
      </c>
      <c r="C22" s="50"/>
      <c r="D22" s="51"/>
      <c r="E22" s="51"/>
      <c r="F22" s="51"/>
      <c r="G22" s="51"/>
      <c r="H22" s="51"/>
      <c r="I22" s="51"/>
      <c r="J22" s="51"/>
      <c r="K22" s="52"/>
      <c r="L22" s="50"/>
      <c r="M22" s="51"/>
      <c r="N22" s="51"/>
      <c r="O22" s="52"/>
    </row>
    <row r="23" spans="1:15" x14ac:dyDescent="0.3">
      <c r="A23" s="5"/>
      <c r="B23" s="5"/>
      <c r="C23" s="50"/>
      <c r="D23" s="51"/>
      <c r="E23" s="51"/>
      <c r="F23" s="51"/>
      <c r="G23" s="51"/>
      <c r="H23" s="51"/>
      <c r="I23" s="51"/>
      <c r="J23" s="51"/>
      <c r="K23" s="52"/>
      <c r="L23" s="50"/>
      <c r="M23" s="51"/>
      <c r="N23" s="51"/>
      <c r="O23" s="52"/>
    </row>
    <row r="24" spans="1:15" x14ac:dyDescent="0.3">
      <c r="A24" s="5"/>
      <c r="B24" s="5"/>
      <c r="C24" s="50"/>
      <c r="D24" s="51"/>
      <c r="E24" s="51"/>
      <c r="F24" s="51"/>
      <c r="G24" s="51"/>
      <c r="H24" s="51"/>
      <c r="I24" s="51"/>
      <c r="J24" s="51"/>
      <c r="K24" s="52"/>
      <c r="L24" s="50"/>
      <c r="M24" s="51"/>
      <c r="N24" s="51"/>
      <c r="O24" s="52"/>
    </row>
    <row r="25" spans="1:15" x14ac:dyDescent="0.3">
      <c r="A25" s="5"/>
      <c r="B25" s="5"/>
      <c r="C25" s="50"/>
      <c r="D25" s="51"/>
      <c r="E25" s="51"/>
      <c r="F25" s="51"/>
      <c r="G25" s="51"/>
      <c r="H25" s="51"/>
      <c r="I25" s="51"/>
      <c r="J25" s="51"/>
      <c r="K25" s="52"/>
      <c r="L25" s="50"/>
      <c r="M25" s="51"/>
      <c r="N25" s="51"/>
      <c r="O25" s="52"/>
    </row>
    <row r="26" spans="1:15" x14ac:dyDescent="0.3">
      <c r="A26" s="5"/>
      <c r="B26" s="5"/>
      <c r="C26" s="54"/>
      <c r="D26" s="55"/>
      <c r="E26" s="55"/>
      <c r="F26" s="55"/>
      <c r="G26" s="55"/>
      <c r="H26" s="55"/>
      <c r="I26" s="55"/>
      <c r="J26" s="55"/>
      <c r="K26" s="56"/>
      <c r="L26" s="54"/>
      <c r="M26" s="55"/>
      <c r="N26" s="55"/>
      <c r="O26" s="56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YieldCurveData">
                <anchor moveWithCells="1" sizeWithCells="1">
                  <from>
                    <xdr:col>4</xdr:col>
                    <xdr:colOff>304800</xdr:colOff>
                    <xdr:row>5</xdr:row>
                    <xdr:rowOff>53340</xdr:rowOff>
                  </from>
                  <to>
                    <xdr:col>7</xdr:col>
                    <xdr:colOff>571500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29758-75FD-4A6A-9325-1D2914B3401B}">
  <sheetPr codeName="Feuil2"/>
  <dimension ref="A1:K8"/>
  <sheetViews>
    <sheetView workbookViewId="0">
      <selection activeCell="E5" sqref="E5"/>
    </sheetView>
  </sheetViews>
  <sheetFormatPr baseColWidth="10" defaultRowHeight="14.4" x14ac:dyDescent="0.3"/>
  <cols>
    <col min="1" max="1" width="19.77734375" bestFit="1" customWidth="1"/>
  </cols>
  <sheetData>
    <row r="1" spans="1:11" ht="25.8" x14ac:dyDescent="0.5">
      <c r="A1" s="33" t="s">
        <v>15</v>
      </c>
      <c r="B1" s="34"/>
      <c r="C1" s="34"/>
      <c r="D1" s="34"/>
      <c r="E1" s="34"/>
      <c r="F1" s="34"/>
      <c r="G1" s="34"/>
      <c r="H1" s="34"/>
      <c r="I1" s="34"/>
      <c r="J1" s="34"/>
      <c r="K1" s="35"/>
    </row>
    <row r="2" spans="1:11" ht="18" x14ac:dyDescent="0.35">
      <c r="A2" s="40" t="s">
        <v>16</v>
      </c>
      <c r="B2" s="11"/>
      <c r="C2" s="20"/>
      <c r="D2" s="41"/>
      <c r="E2" s="42" t="s">
        <v>2</v>
      </c>
      <c r="F2" s="20"/>
      <c r="G2" s="41"/>
      <c r="H2" s="43"/>
      <c r="I2" s="42" t="s">
        <v>26</v>
      </c>
      <c r="J2" s="19"/>
      <c r="K2" s="20"/>
    </row>
    <row r="3" spans="1:11" ht="15.6" x14ac:dyDescent="0.3">
      <c r="A3" s="1" t="s">
        <v>17</v>
      </c>
      <c r="B3" s="5">
        <v>100</v>
      </c>
      <c r="C3" s="8"/>
      <c r="D3" s="8"/>
      <c r="E3" s="14"/>
      <c r="F3" s="15"/>
      <c r="G3" s="7" t="s">
        <v>23</v>
      </c>
      <c r="H3" s="7" t="s">
        <v>13</v>
      </c>
      <c r="I3" s="7" t="s">
        <v>24</v>
      </c>
      <c r="J3" s="7" t="s">
        <v>25</v>
      </c>
      <c r="K3" s="7" t="s">
        <v>14</v>
      </c>
    </row>
    <row r="4" spans="1:11" ht="15.6" x14ac:dyDescent="0.3">
      <c r="A4" s="1" t="s">
        <v>18</v>
      </c>
      <c r="B4" s="5">
        <v>100</v>
      </c>
      <c r="C4" s="2"/>
      <c r="D4" s="1" t="s">
        <v>34</v>
      </c>
      <c r="E4" s="17" cm="1">
        <f t="array" ref="E4">BlackScholesCallPrice(B3,B4,B5,B6,B7,B8)</f>
        <v>10.443997221796657</v>
      </c>
      <c r="F4" s="3"/>
      <c r="G4" s="17" cm="1">
        <f t="array" ref="G4">BlackScholesDeltaCall(B3,B4,B5,B6,B7,B8)</f>
        <v>0.63676321176098793</v>
      </c>
      <c r="H4" s="17" cm="1">
        <f t="array" ref="H4">BlackScholesGamma(B3,B4,B5,B6,B7,B8)</f>
        <v>1.8772836687245498E-2</v>
      </c>
      <c r="I4" s="17" cm="1">
        <f t="array" ref="I4">BlackScholesThetaCall(B3,B4,B5,B6,B7,B8)</f>
        <v>6.4161835351642065</v>
      </c>
      <c r="J4" s="17" cm="1">
        <f t="array" ref="J4">BlackScholesRhoCall(B3,B4,B5,B6,B7,B8)</f>
        <v>53.177670644287453</v>
      </c>
      <c r="K4" s="17" cm="1">
        <f t="array" ref="K4">BlackScholesVega(B3,B4,B5,B6,B7,B8)</f>
        <v>37.507125455215338</v>
      </c>
    </row>
    <row r="5" spans="1:11" ht="15.6" x14ac:dyDescent="0.3">
      <c r="A5" s="1" t="s">
        <v>19</v>
      </c>
      <c r="B5" s="5">
        <v>1</v>
      </c>
      <c r="C5" s="2"/>
      <c r="D5" s="10"/>
      <c r="E5" s="2"/>
      <c r="F5" s="12"/>
      <c r="G5" s="2"/>
      <c r="H5" s="2"/>
      <c r="I5" s="2"/>
      <c r="J5" s="2"/>
      <c r="K5" s="12"/>
    </row>
    <row r="6" spans="1:11" ht="15.6" x14ac:dyDescent="0.3">
      <c r="A6" s="1" t="s">
        <v>20</v>
      </c>
      <c r="B6" s="6">
        <v>0.05</v>
      </c>
      <c r="C6" s="2"/>
      <c r="D6" s="1" t="s">
        <v>35</v>
      </c>
      <c r="E6" s="17" cm="1">
        <f t="array" ref="E6">BlackScholesPutPrice(B3,B4,B5,B6,B7,B8)</f>
        <v>5.5718229051352992</v>
      </c>
      <c r="F6" s="3"/>
      <c r="G6" s="17" cm="1">
        <f t="array" ref="G6">BlackScholesDeltaPut(B3,B4,B5,B6,B7,B8)</f>
        <v>-0.36323678823901207</v>
      </c>
      <c r="H6" s="3"/>
      <c r="I6" s="17" cm="1">
        <f t="array" ref="I6">BlackScholesThetaPut(B3,B4,B5,B6,B7,B8)</f>
        <v>1.659792250997274</v>
      </c>
      <c r="J6" s="17" cm="1">
        <f t="array" ref="J6">BlackScholesRhoPut(B3,B4,B5,B6,B7,B8)</f>
        <v>-41.8524878668917</v>
      </c>
      <c r="K6" s="4"/>
    </row>
    <row r="7" spans="1:11" ht="15.6" x14ac:dyDescent="0.3">
      <c r="A7" s="1" t="s">
        <v>21</v>
      </c>
      <c r="B7" s="6">
        <v>0.2</v>
      </c>
      <c r="C7" s="2"/>
      <c r="D7" s="10"/>
      <c r="E7" s="2"/>
      <c r="F7" s="12"/>
      <c r="G7" s="2"/>
      <c r="H7" s="2"/>
      <c r="I7" s="2"/>
      <c r="J7" s="2"/>
      <c r="K7" s="12"/>
    </row>
    <row r="8" spans="1:11" ht="15.6" x14ac:dyDescent="0.3">
      <c r="A8" s="1" t="s">
        <v>22</v>
      </c>
      <c r="B8" s="6">
        <v>0</v>
      </c>
      <c r="C8" s="13"/>
      <c r="D8" s="16"/>
      <c r="E8" s="13"/>
      <c r="F8" s="9"/>
      <c r="G8" s="13"/>
      <c r="H8" s="13"/>
      <c r="I8" s="13"/>
      <c r="J8" s="13"/>
      <c r="K8" s="9"/>
    </row>
  </sheetData>
  <dataValidations count="4">
    <dataValidation type="decimal" operator="greaterThan" allowBlank="1" showInputMessage="1" showErrorMessage="1" errorTitle="Error :" error="Underlying price must be strictly positive" promptTitle="Warning" prompt="Underlying price must be strictly positive" sqref="B3" xr:uid="{86C0B8F1-A59E-4D65-8C35-5A13CCB227EF}">
      <formula1>0</formula1>
    </dataValidation>
    <dataValidation type="decimal" operator="greaterThan" allowBlank="1" showInputMessage="1" showErrorMessage="1" errorTitle="Error :" error="Strike price must be strictly positive" promptTitle="Warning" prompt="Strike price must be strictly positive" sqref="B4" xr:uid="{1B0F385C-11F3-4837-A99F-7523926B0492}">
      <formula1>0</formula1>
    </dataValidation>
    <dataValidation type="decimal" operator="greaterThan" allowBlank="1" showInputMessage="1" showErrorMessage="1" errorTitle="Error :" error="Maturity must be strictly positive" promptTitle="Warning" prompt="Maturity must be strictly positive" sqref="B5" xr:uid="{AAAA1BD3-BBE1-4928-9153-29E3E4D898B4}">
      <formula1>0</formula1>
    </dataValidation>
    <dataValidation type="decimal" operator="greaterThanOrEqual" allowBlank="1" showInputMessage="1" showErrorMessage="1" errorTitle="Error : " error="Volatility must be strictly positive" promptTitle="Warning" prompt="Volatility must be strictly positive" sqref="B7" xr:uid="{10D4703D-B60C-480A-A085-6F9C65FC5DC6}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56A82-736F-4D94-B1CC-CAFEB7BDCFBB}">
  <sheetPr codeName="Feuil10"/>
  <dimension ref="A1:G23"/>
  <sheetViews>
    <sheetView workbookViewId="0">
      <selection activeCell="P10" sqref="P10"/>
    </sheetView>
  </sheetViews>
  <sheetFormatPr baseColWidth="10" defaultRowHeight="14.4" x14ac:dyDescent="0.3"/>
  <cols>
    <col min="1" max="1" width="19.77734375" bestFit="1" customWidth="1"/>
  </cols>
  <sheetData>
    <row r="1" spans="1:7" ht="25.8" x14ac:dyDescent="0.5">
      <c r="A1" s="33" t="s">
        <v>15</v>
      </c>
      <c r="B1" s="34"/>
      <c r="C1" s="34"/>
    </row>
    <row r="2" spans="1:7" ht="18" x14ac:dyDescent="0.35">
      <c r="A2" s="40" t="s">
        <v>16</v>
      </c>
      <c r="B2" s="11"/>
      <c r="C2" s="20"/>
    </row>
    <row r="3" spans="1:7" ht="15.6" x14ac:dyDescent="0.3">
      <c r="A3" s="1" t="s">
        <v>17</v>
      </c>
      <c r="B3" s="5">
        <v>100</v>
      </c>
      <c r="C3" s="8"/>
    </row>
    <row r="4" spans="1:7" ht="15.6" x14ac:dyDescent="0.3">
      <c r="A4" s="1" t="s">
        <v>18</v>
      </c>
      <c r="B4" s="5">
        <v>100</v>
      </c>
      <c r="C4" s="2"/>
    </row>
    <row r="5" spans="1:7" ht="15.6" x14ac:dyDescent="0.3">
      <c r="A5" s="1" t="s">
        <v>19</v>
      </c>
      <c r="B5" s="5">
        <v>1</v>
      </c>
      <c r="C5" s="2"/>
    </row>
    <row r="6" spans="1:7" ht="15.6" x14ac:dyDescent="0.3">
      <c r="A6" s="1" t="s">
        <v>20</v>
      </c>
      <c r="B6" s="6">
        <v>0.05</v>
      </c>
      <c r="C6" s="2"/>
    </row>
    <row r="7" spans="1:7" ht="15.6" x14ac:dyDescent="0.3">
      <c r="A7" s="1" t="s">
        <v>21</v>
      </c>
      <c r="B7" s="6">
        <v>0.2</v>
      </c>
      <c r="C7" s="2"/>
    </row>
    <row r="8" spans="1:7" ht="15.6" x14ac:dyDescent="0.3">
      <c r="A8" s="1" t="s">
        <v>22</v>
      </c>
      <c r="B8" s="6">
        <v>0</v>
      </c>
      <c r="C8" s="13"/>
    </row>
    <row r="10" spans="1:7" ht="25.8" x14ac:dyDescent="0.5">
      <c r="A10" s="33" t="s">
        <v>50</v>
      </c>
      <c r="B10" s="34"/>
      <c r="C10" s="35"/>
      <c r="D10" s="83"/>
      <c r="E10" s="33" t="s">
        <v>51</v>
      </c>
      <c r="F10" s="35"/>
      <c r="G10" s="46"/>
    </row>
    <row r="11" spans="1:7" ht="18" x14ac:dyDescent="0.35">
      <c r="A11" s="40" t="s">
        <v>16</v>
      </c>
      <c r="B11" s="11"/>
      <c r="C11" s="20"/>
      <c r="E11" s="40" t="s">
        <v>16</v>
      </c>
      <c r="F11" s="84"/>
      <c r="G11" s="82"/>
    </row>
    <row r="12" spans="1:7" ht="15.6" x14ac:dyDescent="0.3">
      <c r="A12" s="1" t="s">
        <v>17</v>
      </c>
      <c r="B12" s="1" t="s">
        <v>9</v>
      </c>
      <c r="C12" s="1" t="s">
        <v>10</v>
      </c>
      <c r="E12" s="1" t="s">
        <v>11</v>
      </c>
      <c r="F12" s="1" t="s">
        <v>12</v>
      </c>
    </row>
    <row r="13" spans="1:7" x14ac:dyDescent="0.3">
      <c r="A13" s="5">
        <f>B3-50</f>
        <v>50</v>
      </c>
      <c r="B13" s="17" cm="1">
        <f t="array" ref="B13">BlackScholesCallPrice(A13,$B$4,$B$5,$B$6,$B$7,$B$8)</f>
        <v>2.3812681390135704E-3</v>
      </c>
      <c r="C13" s="17" cm="1">
        <f t="array" ref="C13">BlackScholesPutPrice(A13,$B$4,$B$5,$B$6,$B$7,$B$8)</f>
        <v>45.130206951477639</v>
      </c>
      <c r="E13" s="17" cm="1">
        <f t="array" ref="E13">BlackScholesDeltaCall(A13,$B$4,$B$5,$B$6,$B$7,$B$8)</f>
        <v>9.1135316496231329E-4</v>
      </c>
      <c r="F13" s="17" cm="1">
        <f t="array" ref="F13">BlackScholesDeltaPut(A13,$B$4,$B$5,$B$6,$B$7,$B$8)</f>
        <v>-0.99908864683503773</v>
      </c>
    </row>
    <row r="14" spans="1:7" x14ac:dyDescent="0.3">
      <c r="A14" s="5">
        <f>A13+10</f>
        <v>60</v>
      </c>
      <c r="B14" s="17" cm="1">
        <f t="array" ref="B14">BlackScholesCallPrice(A14,$B$4,$B$5,$B$6,$B$7,$B$8)</f>
        <v>5.4180972263486726E-2</v>
      </c>
      <c r="C14" s="17" cm="1">
        <f t="array" ref="C14">BlackScholesPutPrice(A14,$B$4,$B$5,$B$6,$B$7,$B$8)</f>
        <v>35.182006655602123</v>
      </c>
      <c r="E14" s="17" cm="1">
        <f t="array" ref="E14">BlackScholesDeltaCall(A14,$B$4,$B$5,$B$6,$B$7,$B$8)</f>
        <v>1.3705308731650793E-2</v>
      </c>
      <c r="F14" s="17" cm="1">
        <f t="array" ref="F14">BlackScholesDeltaPut(A14,$B$4,$B$5,$B$6,$B$7,$B$8)</f>
        <v>-0.98629469126834923</v>
      </c>
    </row>
    <row r="15" spans="1:7" x14ac:dyDescent="0.3">
      <c r="A15" s="5">
        <f t="shared" ref="A15:A23" si="0">A14+10</f>
        <v>70</v>
      </c>
      <c r="B15" s="17" cm="1">
        <f t="array" ref="B15">BlackScholesCallPrice(A15,$B$4,$B$5,$B$6,$B$7,$B$8)</f>
        <v>0.44017263378261529</v>
      </c>
      <c r="C15" s="17" cm="1">
        <f t="array" ref="C15">BlackScholesPutPrice(A15,$B$4,$B$5,$B$6,$B$7,$B$8)</f>
        <v>25.567998317121251</v>
      </c>
      <c r="E15" s="17" cm="1">
        <f t="array" ref="E15">BlackScholesDeltaCall(A15,$B$4,$B$5,$B$6,$B$7,$B$8)</f>
        <v>7.5719001865056063E-2</v>
      </c>
      <c r="F15" s="17" cm="1">
        <f t="array" ref="F15">BlackScholesDeltaPut(A15,$B$4,$B$5,$B$6,$B$7,$B$8)</f>
        <v>-0.92428099813494402</v>
      </c>
    </row>
    <row r="16" spans="1:7" x14ac:dyDescent="0.3">
      <c r="A16" s="5">
        <f t="shared" si="0"/>
        <v>80</v>
      </c>
      <c r="B16" s="17" cm="1">
        <f t="array" ref="B16">BlackScholesCallPrice(A16,$B$4,$B$5,$B$6,$B$7,$B$8)</f>
        <v>1.8561599742922095</v>
      </c>
      <c r="C16" s="17" cm="1">
        <f t="array" ref="C16">BlackScholesPutPrice(A16,$B$4,$B$5,$B$6,$B$7,$B$8)</f>
        <v>16.983985657630853</v>
      </c>
      <c r="E16" s="17" cm="1">
        <f t="array" ref="E16">BlackScholesDeltaCall(A16,$B$4,$B$5,$B$6,$B$7,$B$8)</f>
        <v>0.2216981497783935</v>
      </c>
      <c r="F16" s="17" cm="1">
        <f t="array" ref="F16">BlackScholesDeltaPut(A16,$B$4,$B$5,$B$6,$B$7,$B$8)</f>
        <v>-0.77830185022160658</v>
      </c>
    </row>
    <row r="17" spans="1:6" x14ac:dyDescent="0.3">
      <c r="A17" s="5">
        <f t="shared" si="0"/>
        <v>90</v>
      </c>
      <c r="B17" s="17" cm="1">
        <f t="array" ref="B17">BlackScholesCallPrice(A17,$B$4,$B$5,$B$6,$B$7,$B$8)</f>
        <v>5.0858678861672928</v>
      </c>
      <c r="C17" s="17" cm="1">
        <f t="array" ref="C17">BlackScholesPutPrice(A17,$B$4,$B$5,$B$6,$B$7,$B$8)</f>
        <v>10.213693569505935</v>
      </c>
      <c r="E17" s="17" cm="1">
        <f t="array" ref="E17">BlackScholesDeltaCall(A17,$B$4,$B$5,$B$6,$B$7,$B$8)</f>
        <v>0.42965485815930715</v>
      </c>
      <c r="F17" s="17" cm="1">
        <f t="array" ref="F17">BlackScholesDeltaPut(A17,$B$4,$B$5,$B$6,$B$7,$B$8)</f>
        <v>-0.57034514184069285</v>
      </c>
    </row>
    <row r="18" spans="1:6" x14ac:dyDescent="0.3">
      <c r="A18" s="5">
        <f t="shared" si="0"/>
        <v>100</v>
      </c>
      <c r="B18" s="17" cm="1">
        <f t="array" ref="B18">BlackScholesCallPrice(A18,$B$4,$B$5,$B$6,$B$7,$B$8)</f>
        <v>10.443997221796657</v>
      </c>
      <c r="C18" s="17" cm="1">
        <f t="array" ref="C18">BlackScholesPutPrice(A18,$B$4,$B$5,$B$6,$B$7,$B$8)</f>
        <v>5.5718229051352992</v>
      </c>
      <c r="E18" s="17" cm="1">
        <f t="array" ref="E18">BlackScholesDeltaCall(A18,$B$4,$B$5,$B$6,$B$7,$B$8)</f>
        <v>0.63676321176098793</v>
      </c>
      <c r="F18" s="17" cm="1">
        <f t="array" ref="F18">BlackScholesDeltaPut(A18,$B$4,$B$5,$B$6,$B$7,$B$8)</f>
        <v>-0.36323678823901207</v>
      </c>
    </row>
    <row r="19" spans="1:6" x14ac:dyDescent="0.3">
      <c r="A19" s="5">
        <f t="shared" si="0"/>
        <v>110</v>
      </c>
      <c r="B19" s="17" cm="1">
        <f t="array" ref="B19">BlackScholesCallPrice(A19,$B$4,$B$5,$B$6,$B$7,$B$8)</f>
        <v>17.656164240258519</v>
      </c>
      <c r="C19" s="17" cm="1">
        <f t="array" ref="C19">BlackScholesPutPrice(A19,$B$4,$B$5,$B$6,$B$7,$B$8)</f>
        <v>2.7839899235971686</v>
      </c>
      <c r="E19" s="17" cm="1">
        <f t="array" ref="E19">BlackScholesDeltaCall(A19,$B$4,$B$5,$B$6,$B$7,$B$8)</f>
        <v>0.79577262883645017</v>
      </c>
      <c r="F19" s="17" cm="1">
        <f t="array" ref="F19">BlackScholesDeltaPut(A19,$B$4,$B$5,$B$6,$B$7,$B$8)</f>
        <v>-0.2042273711635498</v>
      </c>
    </row>
    <row r="20" spans="1:6" x14ac:dyDescent="0.3">
      <c r="A20" s="5">
        <f t="shared" si="0"/>
        <v>120</v>
      </c>
      <c r="B20" s="17" cm="1">
        <f t="array" ref="B20">BlackScholesCallPrice(A20,$B$4,$B$5,$B$6,$B$7,$B$8)</f>
        <v>26.16264679492933</v>
      </c>
      <c r="C20" s="17" cm="1">
        <f t="array" ref="C20">BlackScholesPutPrice(A20,$B$4,$B$5,$B$6,$B$7,$B$8)</f>
        <v>1.2904724782679704</v>
      </c>
      <c r="E20" s="17" cm="1">
        <f t="array" ref="E20">BlackScholesDeltaCall(A20,$B$4,$B$5,$B$6,$B$7,$B$8)</f>
        <v>0.89650696587870393</v>
      </c>
      <c r="F20" s="17" cm="1">
        <f t="array" ref="F20">BlackScholesDeltaPut(A20,$B$4,$B$5,$B$6,$B$7,$B$8)</f>
        <v>-0.10349303412129605</v>
      </c>
    </row>
    <row r="21" spans="1:6" x14ac:dyDescent="0.3">
      <c r="A21" s="5">
        <f t="shared" si="0"/>
        <v>130</v>
      </c>
      <c r="B21" s="17" cm="1">
        <f t="array" ref="B21">BlackScholesCallPrice(A21,$B$4,$B$5,$B$6,$B$7,$B$8)</f>
        <v>35.434400047375902</v>
      </c>
      <c r="C21" s="17" cm="1">
        <f t="array" ref="C21">BlackScholesPutPrice(A21,$B$4,$B$5,$B$6,$B$7,$B$8)</f>
        <v>0.56222573071452064</v>
      </c>
      <c r="E21" s="17" cm="1">
        <f t="array" ref="E21">BlackScholesDeltaCall(A21,$B$4,$B$5,$B$6,$B$7,$B$8)</f>
        <v>0.95177523855623547</v>
      </c>
      <c r="F21" s="17" cm="1">
        <f t="array" ref="F21">BlackScholesDeltaPut(A21,$B$4,$B$5,$B$6,$B$7,$B$8)</f>
        <v>-4.8224761443764655E-2</v>
      </c>
    </row>
    <row r="22" spans="1:6" x14ac:dyDescent="0.3">
      <c r="A22" s="5">
        <f t="shared" si="0"/>
        <v>140</v>
      </c>
      <c r="B22" s="17" cm="1">
        <f t="array" ref="B22">BlackScholesCallPrice(A22,$B$4,$B$5,$B$6,$B$7,$B$8)</f>
        <v>45.105163038789911</v>
      </c>
      <c r="C22" s="17" cm="1">
        <f t="array" ref="C22">BlackScholesPutPrice(A22,$B$4,$B$5,$B$6,$B$7,$B$8)</f>
        <v>0.23298872212857669</v>
      </c>
      <c r="E22" s="17" cm="1">
        <f t="array" ref="E22">BlackScholesDeltaCall(A22,$B$4,$B$5,$B$6,$B$7,$B$8)</f>
        <v>0.97897605027524559</v>
      </c>
      <c r="F22" s="17" cm="1">
        <f t="array" ref="F22">BlackScholesDeltaPut(A22,$B$4,$B$5,$B$6,$B$7,$B$8)</f>
        <v>-2.1023949724754326E-2</v>
      </c>
    </row>
    <row r="23" spans="1:6" x14ac:dyDescent="0.3">
      <c r="A23" s="5">
        <f t="shared" si="0"/>
        <v>150</v>
      </c>
      <c r="B23" s="17" cm="1">
        <f t="array" ref="B23">BlackScholesCallPrice(A23,$B$4,$B$5,$B$6,$B$7,$B$8)</f>
        <v>54.964964937646101</v>
      </c>
      <c r="C23" s="17" cm="1">
        <f t="array" ref="C23">BlackScholesPutPrice(A23,$B$4,$B$5,$B$6,$B$7,$B$8)</f>
        <v>9.2790620984738226E-2</v>
      </c>
      <c r="E23" s="17" cm="1">
        <f t="array" ref="E23">BlackScholesDeltaCall(A23,$B$4,$B$5,$B$6,$B$7,$B$8)</f>
        <v>0.99130100799995391</v>
      </c>
      <c r="F23" s="17" cm="1">
        <f t="array" ref="F23">BlackScholesDeltaPut(A23,$B$4,$B$5,$B$6,$B$7,$B$8)</f>
        <v>-8.6989920000460925E-3</v>
      </c>
    </row>
  </sheetData>
  <dataValidations count="4">
    <dataValidation type="decimal" operator="greaterThanOrEqual" allowBlank="1" showInputMessage="1" showErrorMessage="1" errorTitle="Error : " error="Volatility must be strictly positive" promptTitle="Warning" prompt="Volatility must be strictly positive" sqref="B7" xr:uid="{DB2BB75E-AC3E-4B89-A1CB-A6801971DE8C}">
      <formula1>0</formula1>
    </dataValidation>
    <dataValidation type="decimal" operator="greaterThan" allowBlank="1" showInputMessage="1" showErrorMessage="1" errorTitle="Error :" error="Maturity must be strictly positive" promptTitle="Warning" prompt="Maturity must be strictly positive" sqref="B5" xr:uid="{21BA6467-EC43-4BF9-BADD-B7A265B18ECA}">
      <formula1>0</formula1>
    </dataValidation>
    <dataValidation type="decimal" operator="greaterThan" allowBlank="1" showInputMessage="1" showErrorMessage="1" errorTitle="Error :" error="Strike price must be strictly positive" promptTitle="Warning" prompt="Strike price must be strictly positive" sqref="B4" xr:uid="{1143FBC6-B60F-4F44-9C79-F1E0B79159C5}">
      <formula1>0</formula1>
    </dataValidation>
    <dataValidation type="decimal" operator="greaterThan" allowBlank="1" showInputMessage="1" showErrorMessage="1" errorTitle="Error :" error="Underlying price must be strictly positive" promptTitle="Warning" prompt="Underlying price must be strictly positive" sqref="B3 A13:A23 E13:E23" xr:uid="{17164406-244B-468B-A292-175561BB726A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CF08-66B4-45BE-B390-A914C3136462}">
  <sheetPr codeName="Feuil6"/>
  <dimension ref="A1:M18"/>
  <sheetViews>
    <sheetView workbookViewId="0">
      <selection activeCell="E5" sqref="E5"/>
    </sheetView>
  </sheetViews>
  <sheetFormatPr baseColWidth="10" defaultRowHeight="14.4" x14ac:dyDescent="0.3"/>
  <cols>
    <col min="1" max="1" width="19.77734375" bestFit="1" customWidth="1"/>
    <col min="2" max="2" width="16.33203125" customWidth="1"/>
  </cols>
  <sheetData>
    <row r="1" spans="1:13" ht="25.8" x14ac:dyDescent="0.5">
      <c r="A1" s="45" t="s">
        <v>31</v>
      </c>
      <c r="B1" s="37"/>
      <c r="C1" s="37"/>
      <c r="D1" s="37"/>
      <c r="E1" s="37"/>
      <c r="F1" s="37"/>
      <c r="G1" s="37"/>
      <c r="H1" s="37"/>
      <c r="I1" s="37"/>
      <c r="J1" s="37"/>
      <c r="K1" s="39"/>
      <c r="L1" s="46"/>
      <c r="M1" s="46"/>
    </row>
    <row r="2" spans="1:13" ht="18" x14ac:dyDescent="0.35">
      <c r="A2" s="44" t="s">
        <v>16</v>
      </c>
      <c r="B2" s="11"/>
      <c r="C2" s="20"/>
      <c r="D2" s="41"/>
      <c r="E2" s="42" t="s">
        <v>36</v>
      </c>
      <c r="F2" s="19"/>
      <c r="G2" s="41"/>
      <c r="H2" s="43"/>
      <c r="I2" s="42" t="s">
        <v>37</v>
      </c>
      <c r="J2" s="19"/>
      <c r="K2" s="20"/>
    </row>
    <row r="3" spans="1:13" ht="15.6" x14ac:dyDescent="0.3">
      <c r="A3" s="1" t="s">
        <v>17</v>
      </c>
      <c r="B3" s="5">
        <v>100</v>
      </c>
      <c r="C3" s="29"/>
      <c r="D3" s="22"/>
      <c r="E3" s="22"/>
      <c r="F3" s="22"/>
      <c r="G3" s="47" t="s">
        <v>23</v>
      </c>
      <c r="H3" s="47" t="s">
        <v>13</v>
      </c>
      <c r="I3" s="47" t="s">
        <v>24</v>
      </c>
      <c r="J3" s="47" t="s">
        <v>25</v>
      </c>
      <c r="K3" s="47" t="s">
        <v>14</v>
      </c>
    </row>
    <row r="4" spans="1:13" ht="15.6" x14ac:dyDescent="0.3">
      <c r="A4" s="1" t="s">
        <v>18</v>
      </c>
      <c r="B4" s="5">
        <v>100</v>
      </c>
      <c r="C4" s="30"/>
      <c r="D4" s="24" t="s">
        <v>9</v>
      </c>
      <c r="E4" s="17" cm="1">
        <f t="array" ref="E4">CrankNicolsonCallPrice(B3, B4, B5, B7, B8, B10, B11, B12, B13, 0)</f>
        <v>10.381274990158181</v>
      </c>
      <c r="F4" s="25"/>
      <c r="G4" s="17" cm="1">
        <f t="array" ref="G4">CrankNicolsonDeltaCall(B3, B4, B5, B7, B8, B10, B11, B12, B13, 0)</f>
        <v>0.63596626902864095</v>
      </c>
      <c r="H4" s="17" cm="1">
        <f t="array" ref="H4">CrankNicolsonGamma(B3, B4, B5, B7, B8, B10, B11, B12, B13, 0)</f>
        <v>3.7776274961153433E-2</v>
      </c>
      <c r="I4" s="17" cm="1">
        <f t="array" ref="I4">CrankNicolsonThetaCall(B3, B4, B5, B7, B8, B10, B11, B12, B13, 0)</f>
        <v>6.4413600014199357</v>
      </c>
      <c r="J4" s="17" cm="1">
        <f t="array" ref="J4">CrankNicolsonRhoCall(B3, B4, B5, B7, B8, B10, B11, B12, B13, 0)</f>
        <v>52.732139966630065</v>
      </c>
      <c r="K4" s="17" cm="1">
        <f t="array" ref="K4">CrankNicolsonVega(B3, B4, B5, B7, B8, B10, B11, B12, B13, 0)</f>
        <v>37.4198318818312</v>
      </c>
    </row>
    <row r="5" spans="1:13" ht="15.6" x14ac:dyDescent="0.3">
      <c r="A5" s="1" t="s">
        <v>19</v>
      </c>
      <c r="B5" s="5">
        <v>1</v>
      </c>
      <c r="C5" s="30"/>
      <c r="D5" s="22"/>
      <c r="E5" s="22"/>
      <c r="F5" s="22"/>
      <c r="G5" s="48"/>
      <c r="H5" s="22"/>
      <c r="I5" s="22"/>
      <c r="J5" s="22"/>
      <c r="K5" s="30"/>
    </row>
    <row r="6" spans="1:13" ht="15.6" x14ac:dyDescent="0.3">
      <c r="A6" s="1" t="s">
        <v>32</v>
      </c>
      <c r="B6" s="49" t="str">
        <f>HYPERLINK("#Rate!A1", "Rate Data")</f>
        <v>Rate Data</v>
      </c>
      <c r="C6" s="30"/>
      <c r="D6" s="24" t="s">
        <v>10</v>
      </c>
      <c r="E6" s="17" cm="1">
        <f t="array" ref="E6">CrankNicolsonPutPrice(B3, B4, B5, B7, B8, B10, B11, B12, B13, 0)</f>
        <v>5.548192526139065</v>
      </c>
      <c r="F6" s="25"/>
      <c r="G6" s="17" cm="1">
        <f t="array" ref="G6">CrankNicolsonDeltaPut(B3, B4, B5, B7, B8, B10, B11, B12, B13, 0)</f>
        <v>-0.36402893672397774</v>
      </c>
      <c r="H6" s="25"/>
      <c r="I6" s="17" cm="1">
        <f t="array" ref="I6">CrankNicolsonThetaPut(B3, B4, B5, B7, B8, B10, B11, B12, B13, 0)</f>
        <v>1.6829451526264183</v>
      </c>
      <c r="J6" s="17" cm="1">
        <f t="array" ref="J6">CrankNicolsonRhoPut(B3, B4, B5, B7, B8, B10, B11, B12, B13, 0)</f>
        <v>-41.554973908913603</v>
      </c>
      <c r="K6" s="26"/>
    </row>
    <row r="7" spans="1:13" ht="15.6" x14ac:dyDescent="0.3">
      <c r="A7" s="1" t="s">
        <v>21</v>
      </c>
      <c r="B7" s="6">
        <v>0.2</v>
      </c>
      <c r="C7" s="30"/>
      <c r="D7" s="22"/>
      <c r="E7" s="22"/>
      <c r="F7" s="22"/>
      <c r="G7" s="48"/>
      <c r="H7" s="22"/>
      <c r="I7" s="22"/>
      <c r="J7" s="22"/>
      <c r="K7" s="30"/>
    </row>
    <row r="8" spans="1:13" ht="15.6" x14ac:dyDescent="0.3">
      <c r="A8" s="21" t="s">
        <v>22</v>
      </c>
      <c r="B8" s="6">
        <v>0</v>
      </c>
      <c r="C8" s="30"/>
      <c r="D8" s="22"/>
      <c r="E8" s="22"/>
      <c r="F8" s="22"/>
      <c r="G8" s="48"/>
      <c r="H8" s="22"/>
      <c r="I8" s="22"/>
      <c r="J8" s="22"/>
      <c r="K8" s="30"/>
    </row>
    <row r="9" spans="1:13" ht="18" x14ac:dyDescent="0.35">
      <c r="A9" s="44" t="s">
        <v>33</v>
      </c>
      <c r="B9" s="19"/>
      <c r="C9" s="20"/>
      <c r="D9" s="41"/>
      <c r="E9" s="42" t="s">
        <v>38</v>
      </c>
      <c r="F9" s="19"/>
      <c r="G9" s="41"/>
      <c r="H9" s="43"/>
      <c r="I9" s="42" t="s">
        <v>39</v>
      </c>
      <c r="J9" s="19"/>
      <c r="K9" s="20"/>
    </row>
    <row r="10" spans="1:13" ht="15.6" x14ac:dyDescent="0.3">
      <c r="A10" s="23" t="s">
        <v>3</v>
      </c>
      <c r="B10" s="27">
        <v>150</v>
      </c>
      <c r="C10" s="30"/>
      <c r="D10" s="22"/>
      <c r="E10" s="22"/>
      <c r="F10" s="22"/>
      <c r="G10" s="47" t="s">
        <v>23</v>
      </c>
      <c r="H10" s="47" t="s">
        <v>13</v>
      </c>
      <c r="I10" s="47" t="s">
        <v>24</v>
      </c>
      <c r="J10" s="47" t="s">
        <v>25</v>
      </c>
      <c r="K10" s="47" t="s">
        <v>14</v>
      </c>
    </row>
    <row r="11" spans="1:13" ht="15.6" x14ac:dyDescent="0.3">
      <c r="A11" s="1" t="s">
        <v>4</v>
      </c>
      <c r="B11" s="5">
        <v>150</v>
      </c>
      <c r="C11" s="30"/>
      <c r="D11" s="24" t="s">
        <v>9</v>
      </c>
      <c r="E11" s="17" cm="1">
        <f t="array" ref="E11">CrankNicolsonCallPrice(B3, B4, B5, B7, B8, B10, B11, B12, B13, 1)</f>
        <v>10.381291814328744</v>
      </c>
      <c r="F11" s="25"/>
      <c r="G11" s="17" cm="1">
        <f t="array" ref="G11">CrankNicolsonDeltaCall(B3, B4, B5, B7, B8, B10, B11, B12, B13, 1)</f>
        <v>0.63597101303289527</v>
      </c>
      <c r="H11" s="17" cm="1">
        <f t="array" ref="H11">CrankNicolsonGamma(B3, B4, B5, B7, B8, B10, B11, B12, B13, 1)</f>
        <v>3.7778624476040079E-2</v>
      </c>
      <c r="I11" s="17" cm="1">
        <f t="array" ref="I11">CrankNicolsonThetaCall(B3, B4, B5, B7, B8, B10, B11, B12, B13, 1)</f>
        <v>6.4416134301373873</v>
      </c>
      <c r="J11" s="17" cm="1">
        <f t="array" ref="J11">CrankNicolsonRhoCall(B3, B4, B5, B7, B8, B10, B11, B12, B13, 1)</f>
        <v>52.73257181333868</v>
      </c>
      <c r="K11" s="17" cm="1">
        <f t="array" ref="K11">CrankNicolsonVega(B3, B4, B5, B7, B8, B10, B11, B12, B13, 1)</f>
        <v>37.422728551723502</v>
      </c>
    </row>
    <row r="12" spans="1:13" ht="15.6" x14ac:dyDescent="0.3">
      <c r="A12" s="1" t="s">
        <v>5</v>
      </c>
      <c r="B12" s="5">
        <v>300</v>
      </c>
      <c r="C12" s="31"/>
      <c r="D12" s="22"/>
      <c r="E12" s="22"/>
      <c r="F12" s="22"/>
      <c r="G12" s="48"/>
      <c r="H12" s="22"/>
      <c r="I12" s="22"/>
      <c r="J12" s="22"/>
      <c r="K12" s="30"/>
    </row>
    <row r="13" spans="1:13" ht="15.6" x14ac:dyDescent="0.3">
      <c r="A13" s="1" t="s">
        <v>6</v>
      </c>
      <c r="B13" s="28">
        <v>45724</v>
      </c>
      <c r="C13" s="32"/>
      <c r="D13" s="24" t="s">
        <v>10</v>
      </c>
      <c r="E13" s="17" cm="1">
        <f t="array" ref="E13">CrankNicolsonPutPrice(B3, B4, B5, B7, B8, B10, B11, B12, B13, 1)</f>
        <v>6.05483179678345</v>
      </c>
      <c r="F13" s="25"/>
      <c r="G13" s="17" cm="1">
        <f t="array" ref="G13">CrankNicolsonDeltaPut(B3, B4, B5, B7, B8, B10, B11, B12, B13, 1)</f>
        <v>-0.411625952129691</v>
      </c>
      <c r="H13" s="25"/>
      <c r="I13" s="17" cm="1">
        <f t="array" ref="I13">CrankNicolsonThetaPut(B3, B4, B5, B7, B8, B10, B11, B12, B13, 1)</f>
        <v>2.2611266556052856</v>
      </c>
      <c r="J13" s="17" cm="1">
        <f t="array" ref="J13">CrankNicolsonRhoPut(B3, B4, B5, B7, B8, B10, B11, B12, B13, 1)</f>
        <v>-30.095823684633594</v>
      </c>
      <c r="K13" s="26"/>
    </row>
    <row r="14" spans="1:13" ht="15.6" x14ac:dyDescent="0.3">
      <c r="A14" s="64"/>
      <c r="B14" s="64"/>
      <c r="C14" s="64"/>
      <c r="D14" s="64"/>
      <c r="E14" s="64"/>
      <c r="F14" s="64"/>
      <c r="G14" s="64"/>
      <c r="H14" s="64"/>
      <c r="I14" s="64"/>
      <c r="J14" s="64"/>
      <c r="K14" s="64"/>
    </row>
    <row r="15" spans="1:13" ht="15.6" x14ac:dyDescent="0.3">
      <c r="A15" s="67" t="s">
        <v>45</v>
      </c>
      <c r="B15" s="64"/>
      <c r="C15" s="64"/>
      <c r="D15" s="64"/>
      <c r="E15" s="64"/>
      <c r="F15" s="64"/>
      <c r="G15" s="64"/>
      <c r="H15" s="64"/>
      <c r="I15" s="64"/>
      <c r="J15" s="64"/>
      <c r="K15" s="64"/>
    </row>
    <row r="16" spans="1:13" x14ac:dyDescent="0.3">
      <c r="A16" s="66"/>
    </row>
    <row r="17" spans="1:1" ht="25.8" x14ac:dyDescent="0.5">
      <c r="A17" s="85"/>
    </row>
    <row r="18" spans="1:1" ht="18" x14ac:dyDescent="0.35">
      <c r="A18" s="86"/>
    </row>
  </sheetData>
  <dataValidations disablePrompts="1" count="9">
    <dataValidation type="date" operator="greaterThanOrEqual" allowBlank="1" showInputMessage="1" showErrorMessage="1" sqref="C12" xr:uid="{076CC518-4C4E-49B1-95CC-C7DC848809EA}">
      <formula1>1</formula1>
    </dataValidation>
    <dataValidation type="decimal" operator="greaterThan" allowBlank="1" showInputMessage="1" showErrorMessage="1" errorTitle="Error :" error="Maturity must be strictly positive" promptTitle="Warning" prompt="Maturity must be strictly positive" sqref="B5" xr:uid="{393C296D-B118-4CDD-9683-D72B19CA07BC}">
      <formula1>0</formula1>
    </dataValidation>
    <dataValidation type="decimal" operator="greaterThan" allowBlank="1" showInputMessage="1" showErrorMessage="1" errorTitle="Error :" error="Strike price must be strictly positive" promptTitle="Warning" prompt="Strike price must be strictly positive" sqref="B4" xr:uid="{03A4F661-4678-4EA8-93FA-44CD76E3C316}">
      <formula1>0</formula1>
    </dataValidation>
    <dataValidation type="decimal" operator="greaterThan" allowBlank="1" showInputMessage="1" showErrorMessage="1" errorTitle="Error :" error="Underlying price must be strictly positive" promptTitle="Warning" prompt="Underlying price must be strictly positive" sqref="B3" xr:uid="{03334596-26AD-4F9E-8FCD-B0CC6D83C3E0}">
      <formula1>0</formula1>
    </dataValidation>
    <dataValidation type="decimal" operator="greaterThanOrEqual" allowBlank="1" showInputMessage="1" showErrorMessage="1" errorTitle="Error : " error="Volatility must be strictly positive" promptTitle="Warning" prompt="Volatility must be strictly positive" sqref="B7" xr:uid="{C28C20D2-EC85-47E9-B258-E51C169DC2AB}">
      <formula1>0</formula1>
    </dataValidation>
    <dataValidation type="whole" operator="greaterThan" allowBlank="1" showInputMessage="1" showErrorMessage="1" errorTitle="Error : " error="Time Steps must be a strictly positive integer" promptTitle="Warning " prompt="Time Steps must be a strictly positive integer" sqref="B10" xr:uid="{2DF2E23A-7FAA-47EF-8303-F39258A1424F}">
      <formula1>0</formula1>
    </dataValidation>
    <dataValidation type="whole" operator="greaterThan" allowBlank="1" showInputMessage="1" showErrorMessage="1" errorTitle="Error : " error="Spot Steps must be a strictly positive integer" promptTitle="Warning" prompt="Spot Steps must be a strictly positive integer" sqref="B11" xr:uid="{763777FE-8F75-4CAB-9CB4-10AB0E95F391}">
      <formula1>0</formula1>
    </dataValidation>
    <dataValidation type="decimal" operator="greaterThan" allowBlank="1" showInputMessage="1" showErrorMessage="1" errorTitle="Error : " error="S max must be strictly greater than the current spot price" promptTitle="Warning" prompt="S max must be strictly greater than the current spot price" sqref="B12" xr:uid="{C1168CEF-6EB3-4439-88BE-EA6B958EAD1D}">
      <formula1>B3</formula1>
    </dataValidation>
    <dataValidation type="date" operator="greaterThanOrEqual" allowBlank="1" showInputMessage="1" showErrorMessage="1" promptTitle="Warning" prompt="If the cell is empty, today's date will be used by default" sqref="B13" xr:uid="{4E157C18-EA7E-4F6F-83B8-061C07D37892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ctualiserToutesLesCellules">
                <anchor moveWithCells="1" sizeWithCells="1">
                  <from>
                    <xdr:col>11</xdr:col>
                    <xdr:colOff>777240</xdr:colOff>
                    <xdr:row>2</xdr:row>
                    <xdr:rowOff>182880</xdr:rowOff>
                  </from>
                  <to>
                    <xdr:col>14</xdr:col>
                    <xdr:colOff>784860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9E92A-84D5-471D-92D1-E152BCC40D44}">
  <sheetPr codeName="Feuil11"/>
  <dimension ref="A1:M31"/>
  <sheetViews>
    <sheetView topLeftCell="A15" zoomScale="70" workbookViewId="0">
      <selection activeCell="P24" sqref="P24"/>
    </sheetView>
  </sheetViews>
  <sheetFormatPr baseColWidth="10" defaultRowHeight="14.4" x14ac:dyDescent="0.3"/>
  <cols>
    <col min="1" max="1" width="19.77734375" bestFit="1" customWidth="1"/>
  </cols>
  <sheetData>
    <row r="1" spans="1:7" ht="25.8" x14ac:dyDescent="0.5">
      <c r="A1" s="45" t="s">
        <v>31</v>
      </c>
      <c r="B1" s="37"/>
      <c r="C1" s="37"/>
      <c r="D1" s="2"/>
      <c r="E1" s="2"/>
      <c r="F1" s="2"/>
      <c r="G1" s="2"/>
    </row>
    <row r="2" spans="1:7" ht="18" x14ac:dyDescent="0.35">
      <c r="A2" s="44" t="s">
        <v>16</v>
      </c>
      <c r="B2" s="11"/>
      <c r="C2" s="20"/>
      <c r="D2" s="2"/>
      <c r="E2" s="2"/>
      <c r="F2" s="2"/>
      <c r="G2" s="2"/>
    </row>
    <row r="3" spans="1:7" ht="15.6" x14ac:dyDescent="0.3">
      <c r="A3" s="1" t="s">
        <v>17</v>
      </c>
      <c r="B3" s="5">
        <v>100</v>
      </c>
      <c r="C3" s="29"/>
      <c r="D3" s="2"/>
      <c r="E3" s="2"/>
      <c r="F3" s="2"/>
      <c r="G3" s="2"/>
    </row>
    <row r="4" spans="1:7" ht="15.6" x14ac:dyDescent="0.3">
      <c r="A4" s="1" t="s">
        <v>18</v>
      </c>
      <c r="B4" s="5">
        <v>100</v>
      </c>
      <c r="C4" s="30"/>
      <c r="D4" s="2"/>
      <c r="E4" s="2"/>
      <c r="F4" s="2"/>
      <c r="G4" s="2"/>
    </row>
    <row r="5" spans="1:7" ht="15.6" x14ac:dyDescent="0.3">
      <c r="A5" s="1" t="s">
        <v>19</v>
      </c>
      <c r="B5" s="5">
        <v>1</v>
      </c>
      <c r="C5" s="30"/>
      <c r="D5" s="2"/>
      <c r="E5" s="2"/>
      <c r="F5" s="2"/>
      <c r="G5" s="2"/>
    </row>
    <row r="6" spans="1:7" ht="15.6" x14ac:dyDescent="0.3">
      <c r="A6" s="1" t="s">
        <v>32</v>
      </c>
      <c r="B6" s="49" t="str">
        <f>HYPERLINK("#Rate!A1", "Rate Data")</f>
        <v>Rate Data</v>
      </c>
      <c r="C6" s="30"/>
      <c r="D6" s="2"/>
      <c r="E6" s="2"/>
      <c r="F6" s="2"/>
      <c r="G6" s="2"/>
    </row>
    <row r="7" spans="1:7" ht="15.6" x14ac:dyDescent="0.3">
      <c r="A7" s="1" t="s">
        <v>21</v>
      </c>
      <c r="B7" s="6">
        <v>0.2</v>
      </c>
      <c r="C7" s="30"/>
      <c r="D7" s="2"/>
      <c r="E7" s="2"/>
      <c r="F7" s="2"/>
      <c r="G7" s="2"/>
    </row>
    <row r="8" spans="1:7" ht="15.6" x14ac:dyDescent="0.3">
      <c r="A8" s="21" t="s">
        <v>22</v>
      </c>
      <c r="B8" s="6">
        <v>0</v>
      </c>
      <c r="C8" s="30"/>
      <c r="D8" s="2"/>
      <c r="E8" s="2"/>
      <c r="F8" s="2"/>
      <c r="G8" s="2"/>
    </row>
    <row r="9" spans="1:7" ht="18" x14ac:dyDescent="0.35">
      <c r="A9" s="44" t="s">
        <v>33</v>
      </c>
      <c r="B9" s="19"/>
      <c r="C9" s="20"/>
      <c r="D9" s="2"/>
      <c r="E9" s="2"/>
      <c r="F9" s="2"/>
      <c r="G9" s="2"/>
    </row>
    <row r="10" spans="1:7" ht="15.6" x14ac:dyDescent="0.3">
      <c r="A10" s="23" t="s">
        <v>3</v>
      </c>
      <c r="B10" s="27">
        <v>150</v>
      </c>
      <c r="C10" s="30"/>
      <c r="D10" s="2"/>
      <c r="E10" s="2"/>
      <c r="F10" s="2"/>
      <c r="G10" s="2"/>
    </row>
    <row r="11" spans="1:7" ht="15.6" x14ac:dyDescent="0.3">
      <c r="A11" s="1" t="s">
        <v>4</v>
      </c>
      <c r="B11" s="5">
        <v>150</v>
      </c>
      <c r="C11" s="30"/>
      <c r="D11" s="2"/>
      <c r="E11" s="2"/>
      <c r="F11" s="2"/>
      <c r="G11" s="2"/>
    </row>
    <row r="12" spans="1:7" ht="15.6" x14ac:dyDescent="0.3">
      <c r="A12" s="1" t="s">
        <v>5</v>
      </c>
      <c r="B12" s="5">
        <v>300</v>
      </c>
      <c r="C12" s="31"/>
      <c r="D12" s="2"/>
      <c r="E12" s="2"/>
      <c r="F12" s="2"/>
      <c r="G12" s="2"/>
    </row>
    <row r="13" spans="1:7" ht="15.6" x14ac:dyDescent="0.3">
      <c r="A13" s="1" t="s">
        <v>6</v>
      </c>
      <c r="B13" s="28">
        <v>45724</v>
      </c>
      <c r="C13" s="32"/>
      <c r="D13" s="2"/>
      <c r="E13" s="2"/>
      <c r="F13" s="2"/>
      <c r="G13" s="2"/>
    </row>
    <row r="14" spans="1:7" ht="15.6" x14ac:dyDescent="0.3">
      <c r="A14" s="64"/>
      <c r="B14" s="64"/>
      <c r="C14" s="64"/>
      <c r="D14" s="2"/>
      <c r="E14" s="2"/>
      <c r="F14" s="2"/>
      <c r="G14" s="2"/>
    </row>
    <row r="15" spans="1:7" ht="15.6" x14ac:dyDescent="0.3">
      <c r="A15" s="67" t="s">
        <v>45</v>
      </c>
      <c r="B15" s="64"/>
      <c r="C15" s="64"/>
      <c r="D15" s="2"/>
      <c r="E15" s="2"/>
      <c r="F15" s="2"/>
      <c r="G15" s="2"/>
    </row>
    <row r="17" spans="1:13" ht="25.8" x14ac:dyDescent="0.5">
      <c r="A17" s="33" t="s">
        <v>50</v>
      </c>
      <c r="B17" s="34"/>
      <c r="C17" s="35"/>
      <c r="D17" s="34"/>
      <c r="E17" s="35"/>
      <c r="G17" s="33" t="s">
        <v>51</v>
      </c>
      <c r="H17" s="35"/>
      <c r="I17" s="36"/>
      <c r="J17" s="35"/>
      <c r="L17" s="33" t="s">
        <v>54</v>
      </c>
      <c r="M17" s="35"/>
    </row>
    <row r="18" spans="1:13" ht="18" x14ac:dyDescent="0.35">
      <c r="A18" s="40" t="s">
        <v>16</v>
      </c>
      <c r="B18" s="44" t="s">
        <v>52</v>
      </c>
      <c r="C18" s="20"/>
      <c r="D18" s="87" t="s">
        <v>53</v>
      </c>
      <c r="E18" s="20"/>
      <c r="G18" s="44" t="s">
        <v>52</v>
      </c>
      <c r="H18" s="84"/>
      <c r="I18" s="87" t="s">
        <v>53</v>
      </c>
      <c r="J18" s="84"/>
      <c r="L18" s="44" t="s">
        <v>55</v>
      </c>
      <c r="M18" s="84"/>
    </row>
    <row r="19" spans="1:13" ht="15.6" x14ac:dyDescent="0.3">
      <c r="A19" s="1" t="s">
        <v>17</v>
      </c>
      <c r="B19" s="1" t="s">
        <v>56</v>
      </c>
      <c r="C19" s="1" t="s">
        <v>57</v>
      </c>
      <c r="D19" s="1" t="s">
        <v>58</v>
      </c>
      <c r="E19" s="1" t="s">
        <v>59</v>
      </c>
      <c r="G19" s="1" t="s">
        <v>11</v>
      </c>
      <c r="H19" s="1" t="s">
        <v>12</v>
      </c>
      <c r="I19" s="1" t="s">
        <v>11</v>
      </c>
      <c r="J19" s="1" t="s">
        <v>12</v>
      </c>
      <c r="L19" s="1" t="s">
        <v>9</v>
      </c>
      <c r="M19" s="1" t="s">
        <v>10</v>
      </c>
    </row>
    <row r="20" spans="1:13" x14ac:dyDescent="0.3">
      <c r="A20" s="5">
        <f>B3-50</f>
        <v>50</v>
      </c>
      <c r="B20" s="17" cm="1">
        <f t="array" ref="B20">CrankNicolsonCallPrice(A20, $B$4, $B$5, $B$7, $B$8, $B$10, $B$11, $B$12, $B$13, 0)</f>
        <v>3.608862402186961E-4</v>
      </c>
      <c r="C20" s="17" cm="1">
        <f t="array" ref="C20">CrankNicolsonPutPrice(A20, $B$4, $B$5, $B$7, $B$8, $B$10, $B$11, $B$12, $B$13, 0)</f>
        <v>55.078911769546579</v>
      </c>
      <c r="D20" s="17" cm="1">
        <f t="array" ref="D20">CrankNicolsonCallPrice(A20, $B$4, $B$5, $B$7, $B$8, $B$10, $B$11, $B$12, $B$13, 1)</f>
        <v>3.6749951697756869E-4</v>
      </c>
      <c r="E20" s="17" cm="1">
        <f t="array" ref="E20">CrankNicolsonPutPrice(A20, $B$4, $B$5, $B$7, $B$8, $B$10, $B$11, $B$12, $B$13, 1)</f>
        <v>55.078911769546579</v>
      </c>
      <c r="G20" s="17" cm="1">
        <f t="array" ref="G20">CrankNicolsonDeltaCall(A20, $B$4, $B$5, $B$7, $B$8, $B$10, $B$11, $B$12, $B$13, 0)</f>
        <v>1.6279062312586992E-4</v>
      </c>
      <c r="H20" s="17" cm="1">
        <f t="array" ref="H20">CrankNicolsonDeltaPut(A20, $B$4, $B$5, $B$7, $B$8, $B$10, $B$11, $B$12, $B$13, 0)</f>
        <v>-0.99983720937688503</v>
      </c>
      <c r="I20" s="17" cm="1">
        <f t="array" ref="I20">CrankNicolsonDeltaCall(A20, $B$4, $B$5, $B$7, $B$8, $B$10, $B$11, $B$12, $B$13, 1)</f>
        <v>1.6602069811933324E-4</v>
      </c>
      <c r="J20" s="17" cm="1">
        <f t="array" ref="J20">CrankNicolsonDeltaPut(A20, $B$4, $B$5, $B$7, $B$8, $B$10, $B$11, $B$12, $B$13, 1)</f>
        <v>-0.99983720937688503</v>
      </c>
      <c r="L20" s="17" cm="1">
        <f t="array" ref="L20">FrontiereExerciceCall(A20,$B$4,D20)</f>
        <v>0</v>
      </c>
      <c r="M20" s="17" cm="1">
        <f t="array" ref="M20">FrontiereExercicePut(A20,$B$4,E20)</f>
        <v>0</v>
      </c>
    </row>
    <row r="21" spans="1:13" x14ac:dyDescent="0.3">
      <c r="A21" s="5">
        <f>A20+10</f>
        <v>60</v>
      </c>
      <c r="B21" s="17" cm="1">
        <f t="array" ref="B21">CrankNicolsonCallPrice(A21, $B$4, $B$5, $B$7, $B$8, $B$10, $B$11, $B$12, $B$13, 0)</f>
        <v>1.1559649404557922E-2</v>
      </c>
      <c r="C21" s="17" cm="1">
        <f t="array" ref="C21">CrankNicolsonPutPrice(A21, $B$4, $B$5, $B$7, $B$8, $B$10, $B$11, $B$12, $B$13, 0)</f>
        <v>45.090110532710845</v>
      </c>
      <c r="D21" s="17" cm="1">
        <f t="array" ref="D21">CrankNicolsonCallPrice(A21, $B$4, $B$5, $B$7, $B$8, $B$10, $B$11, $B$12, $B$13, 1)</f>
        <v>1.1838589021023934E-2</v>
      </c>
      <c r="E21" s="17" cm="1">
        <f t="array" ref="E21">CrankNicolsonPutPrice(A21, $B$4, $B$5, $B$7, $B$8, $B$10, $B$11, $B$12, $B$13, 1)</f>
        <v>45.090110532710845</v>
      </c>
      <c r="G21" s="17" cm="1">
        <f t="array" ref="G21">CrankNicolsonDeltaCall(A21, $B$4, $B$5, $B$7, $B$8, $B$10, $B$11, $B$12, $B$13, 0)</f>
        <v>3.4319788678371646E-3</v>
      </c>
      <c r="H21" s="17" cm="1">
        <f t="array" ref="H21">CrankNicolsonDeltaPut(A21, $B$4, $B$5, $B$7, $B$8, $B$10, $B$11, $B$12, $B$13, 0)</f>
        <v>-0.99656802113216258</v>
      </c>
      <c r="I21" s="17" cm="1">
        <f t="array" ref="I21">CrankNicolsonDeltaCall(A21, $B$4, $B$5, $B$7, $B$8, $B$10, $B$11, $B$12, $B$13, 1)</f>
        <v>3.5236347958532105E-3</v>
      </c>
      <c r="J21" s="17" cm="1">
        <f t="array" ref="J21">CrankNicolsonDeltaPut(A21, $B$4, $B$5, $B$7, $B$8, $B$10, $B$11, $B$12, $B$13, 1)</f>
        <v>-0.99656802113216258</v>
      </c>
      <c r="L21" s="17" cm="1">
        <f t="array" ref="L21">FrontiereExerciceCall(A21,$B$4,D21)</f>
        <v>0</v>
      </c>
      <c r="M21" s="17" cm="1">
        <f t="array" ref="M21">FrontiereExercicePut(A21,$B$4,E21)</f>
        <v>0</v>
      </c>
    </row>
    <row r="22" spans="1:13" x14ac:dyDescent="0.3">
      <c r="A22" s="5">
        <f t="shared" ref="A22:A30" si="0">A21+10</f>
        <v>70</v>
      </c>
      <c r="B22" s="17" cm="1">
        <f t="array" ref="B22">CrankNicolsonCallPrice(A22, $B$4, $B$5, $B$7, $B$8, $B$10, $B$11, $B$12, $B$13, 0)</f>
        <v>0.12896155047911836</v>
      </c>
      <c r="C22" s="17" cm="1">
        <f t="array" ref="C22">CrankNicolsonPutPrice(A22, $B$4, $B$5, $B$7, $B$8, $B$10, $B$11, $B$12, $B$13, 0)</f>
        <v>35.207512433793603</v>
      </c>
      <c r="D22" s="17" cm="1">
        <f t="array" ref="D22">CrankNicolsonCallPrice(A22, $B$4, $B$5, $B$7, $B$8, $B$10, $B$11, $B$12, $B$13, 1)</f>
        <v>0.1330387481656288</v>
      </c>
      <c r="E22" s="17" cm="1">
        <f t="array" ref="E22">CrankNicolsonPutPrice(A22, $B$4, $B$5, $B$7, $B$8, $B$10, $B$11, $B$12, $B$13, 1)</f>
        <v>35.207512433793603</v>
      </c>
      <c r="G22" s="17" cm="1">
        <f t="array" ref="G22">CrankNicolsonDeltaCall(A22, $B$4, $B$5, $B$7, $B$8, $B$10, $B$11, $B$12, $B$13, 0)</f>
        <v>2.6314526319106163E-2</v>
      </c>
      <c r="H22" s="17" cm="1">
        <f t="array" ref="H22">CrankNicolsonDeltaPut(A22, $B$4, $B$5, $B$7, $B$8, $B$10, $B$11, $B$12, $B$13, 0)</f>
        <v>-0.97368547367586633</v>
      </c>
      <c r="I22" s="17" cm="1">
        <f t="array" ref="I22">CrankNicolsonDeltaCall(A22, $B$4, $B$5, $B$7, $B$8, $B$10, $B$11, $B$12, $B$13, 1)</f>
        <v>2.7263829034277147E-2</v>
      </c>
      <c r="J22" s="17" cm="1">
        <f t="array" ref="J22">CrankNicolsonDeltaPut(A22, $B$4, $B$5, $B$7, $B$8, $B$10, $B$11, $B$12, $B$13, 1)</f>
        <v>-0.97368547367586633</v>
      </c>
      <c r="L22" s="17" cm="1">
        <f t="array" ref="L22">FrontiereExerciceCall(A22,$B$4,D22)</f>
        <v>0</v>
      </c>
      <c r="M22" s="17" cm="1">
        <f t="array" ref="M22">FrontiereExercicePut(A22,$B$4,E22)</f>
        <v>0</v>
      </c>
    </row>
    <row r="23" spans="1:13" x14ac:dyDescent="0.3">
      <c r="A23" s="5">
        <f t="shared" si="0"/>
        <v>80</v>
      </c>
      <c r="B23" s="17" cm="1">
        <f t="array" ref="B23">CrankNicolsonCallPrice(A23, $B$4, $B$5, $B$7, $B$8, $B$10, $B$11, $B$12, $B$13, 0)</f>
        <v>0.7088831825278139</v>
      </c>
      <c r="C23" s="17" cm="1">
        <f t="array" ref="C23">CrankNicolsonPutPrice(A23, $B$4, $B$5, $B$7, $B$8, $B$10, $B$11, $B$12, $B$13, 0)</f>
        <v>25.787434066751917</v>
      </c>
      <c r="D23" s="17" cm="1">
        <f t="array" ref="D23">CrankNicolsonCallPrice(A23, $B$4, $B$5, $B$7, $B$8, $B$10, $B$11, $B$12, $B$13, 1)</f>
        <v>0.73805841429225361</v>
      </c>
      <c r="E23" s="17" cm="1">
        <f t="array" ref="E23">CrankNicolsonPutPrice(A23, $B$4, $B$5, $B$7, $B$8, $B$10, $B$11, $B$12, $B$13, 1)</f>
        <v>25.787434066751917</v>
      </c>
      <c r="G23" s="17" cm="1">
        <f t="array" ref="G23">CrankNicolsonDeltaCall(A23, $B$4, $B$5, $B$7, $B$8, $B$10, $B$11, $B$12, $B$13, 0)</f>
        <v>0.10205326978276516</v>
      </c>
      <c r="H23" s="17" cm="1">
        <f t="array" ref="H23">CrankNicolsonDeltaPut(A23, $B$4, $B$5, $B$7, $B$8, $B$10, $B$11, $B$12, $B$13, 0)</f>
        <v>-0.89794672978398937</v>
      </c>
      <c r="I23" s="17" cm="1">
        <f t="array" ref="I23">CrankNicolsonDeltaCall(A23, $B$4, $B$5, $B$7, $B$8, $B$10, $B$11, $B$12, $B$13, 1)</f>
        <v>0.10704162918910125</v>
      </c>
      <c r="J23" s="17" cm="1">
        <f t="array" ref="J23">CrankNicolsonDeltaPut(A23, $B$4, $B$5, $B$7, $B$8, $B$10, $B$11, $B$12, $B$13, 1)</f>
        <v>-0.89794672978398937</v>
      </c>
      <c r="L23" s="17" cm="1">
        <f t="array" ref="L23">FrontiereExerciceCall(A23,$B$4,D23)</f>
        <v>0</v>
      </c>
      <c r="M23" s="17" cm="1">
        <f t="array" ref="M23">FrontiereExercicePut(A23,$B$4,E23)</f>
        <v>0</v>
      </c>
    </row>
    <row r="24" spans="1:13" x14ac:dyDescent="0.3">
      <c r="A24" s="5">
        <f t="shared" si="0"/>
        <v>90</v>
      </c>
      <c r="B24" s="17" cm="1">
        <f t="array" ref="B24">CrankNicolsonCallPrice(A24, $B$4, $B$5, $B$7, $B$8, $B$10, $B$11, $B$12, $B$13, 0)</f>
        <v>2.4029598232859799</v>
      </c>
      <c r="C24" s="17" cm="1">
        <f t="array" ref="C24">CrankNicolsonPutPrice(A24, $B$4, $B$5, $B$7, $B$8, $B$10, $B$11, $B$12, $B$13, 0)</f>
        <v>17.48151075119544</v>
      </c>
      <c r="D24" s="17" cm="1">
        <f t="array" ref="D24">CrankNicolsonCallPrice(A24, $B$4, $B$5, $B$7, $B$8, $B$10, $B$11, $B$12, $B$13, 1)</f>
        <v>2.5307288845523686</v>
      </c>
      <c r="E24" s="17" cm="1">
        <f t="array" ref="E24">CrankNicolsonPutPrice(A24, $B$4, $B$5, $B$7, $B$8, $B$10, $B$11, $B$12, $B$13, 1)</f>
        <v>17.48151075119544</v>
      </c>
      <c r="G24" s="17" cm="1">
        <f t="array" ref="G24">CrankNicolsonDeltaCall(A24, $B$4, $B$5, $B$7, $B$8, $B$10, $B$11, $B$12, $B$13, 0)</f>
        <v>0.2486340526723812</v>
      </c>
      <c r="H24" s="17" cm="1">
        <f t="array" ref="H24">CrankNicolsonDeltaPut(A24, $B$4, $B$5, $B$7, $B$8, $B$10, $B$11, $B$12, $B$13, 0)</f>
        <v>-0.75136593042678812</v>
      </c>
      <c r="I24" s="17" cm="1">
        <f t="array" ref="I24">CrankNicolsonDeltaCall(A24, $B$4, $B$5, $B$7, $B$8, $B$10, $B$11, $B$12, $B$13, 1)</f>
        <v>0.26513434775160155</v>
      </c>
      <c r="J24" s="17" cm="1">
        <f t="array" ref="J24">CrankNicolsonDeltaPut(A24, $B$4, $B$5, $B$7, $B$8, $B$10, $B$11, $B$12, $B$13, 1)</f>
        <v>-0.75136593042678812</v>
      </c>
      <c r="L24" s="17" cm="1">
        <f t="array" ref="L24">FrontiereExerciceCall(A24,$B$4,D24)</f>
        <v>0</v>
      </c>
      <c r="M24" s="17" cm="1">
        <f t="array" ref="M24">FrontiereExercicePut(A24,$B$4,E24)</f>
        <v>0</v>
      </c>
    </row>
    <row r="25" spans="1:13" x14ac:dyDescent="0.3">
      <c r="A25" s="5">
        <f t="shared" si="0"/>
        <v>100</v>
      </c>
      <c r="B25" s="17" cm="1">
        <f t="array" ref="B25">CrankNicolsonCallPrice(A25, $B$4, $B$5, $B$7, $B$8, $B$10, $B$11, $B$12, $B$13, 0)</f>
        <v>5.8299581421889819</v>
      </c>
      <c r="C25" s="17" cm="1">
        <f t="array" ref="C25">CrankNicolsonPutPrice(A25, $B$4, $B$5, $B$7, $B$8, $B$10, $B$11, $B$12, $B$13, 0)</f>
        <v>10.908510161224061</v>
      </c>
      <c r="D25" s="17" cm="1">
        <f t="array" ref="D25">CrankNicolsonCallPrice(A25, $B$4, $B$5, $B$7, $B$8, $B$10, $B$11, $B$12, $B$13, 1)</f>
        <v>6.2267621080151745</v>
      </c>
      <c r="E25" s="17" cm="1">
        <f t="array" ref="E25">CrankNicolsonPutPrice(A25, $B$4, $B$5, $B$7, $B$8, $B$10, $B$11, $B$12, $B$13, 1)</f>
        <v>10.908510161224061</v>
      </c>
      <c r="G25" s="17" cm="1">
        <f t="array" ref="G25">CrankNicolsonDeltaCall(A25, $B$4, $B$5, $B$7, $B$8, $B$10, $B$11, $B$12, $B$13, 0)</f>
        <v>0.44062697237659121</v>
      </c>
      <c r="H25" s="17" cm="1">
        <f t="array" ref="H25">CrankNicolsonDeltaPut(A25, $B$4, $B$5, $B$7, $B$8, $B$10, $B$11, $B$12, $B$13, 0)</f>
        <v>-0.55937267479488639</v>
      </c>
      <c r="I25" s="17" cm="1">
        <f t="array" ref="I25">CrankNicolsonDeltaCall(A25, $B$4, $B$5, $B$7, $B$8, $B$10, $B$11, $B$12, $B$13, 1)</f>
        <v>0.48030166749615866</v>
      </c>
      <c r="J25" s="17" cm="1">
        <f t="array" ref="J25">CrankNicolsonDeltaPut(A25, $B$4, $B$5, $B$7, $B$8, $B$10, $B$11, $B$12, $B$13, 1)</f>
        <v>-0.55937267479488639</v>
      </c>
      <c r="L25" s="17" cm="1">
        <f t="array" ref="L25">FrontiereExerciceCall(A25,$B$4,D25)</f>
        <v>0</v>
      </c>
      <c r="M25" s="17" cm="1">
        <f t="array" ref="M25">FrontiereExercicePut(A25,$B$4,E25)</f>
        <v>0</v>
      </c>
    </row>
    <row r="26" spans="1:13" x14ac:dyDescent="0.3">
      <c r="A26" s="5">
        <f t="shared" si="0"/>
        <v>110</v>
      </c>
      <c r="B26" s="17" cm="1">
        <f t="array" ref="B26">CrankNicolsonCallPrice(A26, $B$4, $B$5, $B$7, $B$8, $B$10, $B$11, $B$12, $B$13, 0)</f>
        <v>11.202331291399807</v>
      </c>
      <c r="C26" s="17" cm="1">
        <f t="array" ref="C26">CrankNicolsonPutPrice(A26, $B$4, $B$5, $B$7, $B$8, $B$10, $B$11, $B$12, $B$13, 0)</f>
        <v>6.280899480228002</v>
      </c>
      <c r="D26" s="17" cm="1">
        <f t="array" ref="D26">CrankNicolsonCallPrice(A26, $B$4, $B$5, $B$7, $B$8, $B$10, $B$11, $B$12, $B$13, 1)</f>
        <v>12.167538165932323</v>
      </c>
      <c r="E26" s="17" cm="1">
        <f t="array" ref="E26">CrankNicolsonPutPrice(A26, $B$4, $B$5, $B$7, $B$8, $B$10, $B$11, $B$12, $B$13, 1)</f>
        <v>6.280899480228002</v>
      </c>
      <c r="G26" s="17" cm="1">
        <f t="array" ref="G26">CrankNicolsonDeltaCall(A26, $B$4, $B$5, $B$7, $B$8, $B$10, $B$11, $B$12, $B$13, 0)</f>
        <v>0.62914508114953149</v>
      </c>
      <c r="H26" s="17" cm="1">
        <f t="array" ref="H26">CrankNicolsonDeltaPut(A26, $B$4, $B$5, $B$7, $B$8, $B$10, $B$11, $B$12, $B$13, 0)</f>
        <v>-0.37085044074237322</v>
      </c>
      <c r="I26" s="17" cm="1">
        <f t="array" ref="I26">CrankNicolsonDeltaCall(A26, $B$4, $B$5, $B$7, $B$8, $B$10, $B$11, $B$12, $B$13, 1)</f>
        <v>0.70561088096119051</v>
      </c>
      <c r="J26" s="17" cm="1">
        <f t="array" ref="J26">CrankNicolsonDeltaPut(A26, $B$4, $B$5, $B$7, $B$8, $B$10, $B$11, $B$12, $B$13, 1)</f>
        <v>-0.37085044074237322</v>
      </c>
      <c r="L26" s="17" cm="1">
        <f t="array" ref="L26">FrontiereExerciceCall(A26,$B$4,D26)</f>
        <v>0</v>
      </c>
      <c r="M26" s="17" cm="1">
        <f t="array" ref="M26">FrontiereExercicePut(A26,$B$4,E26)</f>
        <v>0</v>
      </c>
    </row>
    <row r="27" spans="1:13" x14ac:dyDescent="0.3">
      <c r="A27" s="5">
        <f t="shared" si="0"/>
        <v>120</v>
      </c>
      <c r="B27" s="17" cm="1">
        <f t="array" ref="B27">CrankNicolsonCallPrice(A27, $B$4, $B$5, $B$7, $B$8, $B$10, $B$11, $B$12, $B$13, 0)</f>
        <v>18.283492927155311</v>
      </c>
      <c r="C27" s="17" cm="1">
        <f t="array" ref="C27">CrankNicolsonPutPrice(A27, $B$4, $B$5, $B$7, $B$8, $B$10, $B$11, $B$12, $B$13, 0)</f>
        <v>3.3622182154842832</v>
      </c>
      <c r="D27" s="17" cm="1">
        <f t="array" ref="D27">CrankNicolsonCallPrice(A27, $B$4, $B$5, $B$7, $B$8, $B$10, $B$11, $B$12, $B$13, 1)</f>
        <v>20.250090584434055</v>
      </c>
      <c r="E27" s="17" cm="1">
        <f t="array" ref="E27">CrankNicolsonPutPrice(A27, $B$4, $B$5, $B$7, $B$8, $B$10, $B$11, $B$12, $B$13, 1)</f>
        <v>3.3622182154842832</v>
      </c>
      <c r="G27" s="17" cm="1">
        <f t="array" ref="G27">CrankNicolsonDeltaCall(A27, $B$4, $B$5, $B$7, $B$8, $B$10, $B$11, $B$12, $B$13, 0)</f>
        <v>0.77833559466692126</v>
      </c>
      <c r="H27" s="17" cm="1">
        <f t="array" ref="H27">CrankNicolsonDeltaPut(A27, $B$4, $B$5, $B$7, $B$8, $B$10, $B$11, $B$12, $B$13, 0)</f>
        <v>-0.22162635721377519</v>
      </c>
      <c r="I27" s="17" cm="1">
        <f t="array" ref="I27">CrankNicolsonDeltaCall(A27, $B$4, $B$5, $B$7, $B$8, $B$10, $B$11, $B$12, $B$13, 1)</f>
        <v>0.90424178857789239</v>
      </c>
      <c r="J27" s="17" cm="1">
        <f t="array" ref="J27">CrankNicolsonDeltaPut(A27, $B$4, $B$5, $B$7, $B$8, $B$10, $B$11, $B$12, $B$13, 1)</f>
        <v>-0.22162635721377519</v>
      </c>
      <c r="L27" s="17" cm="1">
        <f t="array" ref="L27">FrontiereExerciceCall(A27,$B$4,D27)</f>
        <v>0</v>
      </c>
      <c r="M27" s="17" cm="1">
        <f t="array" ref="M27">FrontiereExercicePut(A27,$B$4,E27)</f>
        <v>0</v>
      </c>
    </row>
    <row r="28" spans="1:13" x14ac:dyDescent="0.3">
      <c r="A28" s="5">
        <f t="shared" si="0"/>
        <v>130</v>
      </c>
      <c r="B28" s="17" cm="1">
        <f t="array" ref="B28">CrankNicolsonCallPrice(A28, $B$4, $B$5, $B$7, $B$8, $B$10, $B$11, $B$12, $B$13, 0)</f>
        <v>26.609948612960029</v>
      </c>
      <c r="C28" s="17" cm="1">
        <f t="array" ref="C28">CrankNicolsonPutPrice(A28, $B$4, $B$5, $B$7, $B$8, $B$10, $B$11, $B$12, $B$13, 0)</f>
        <v>1.6897542668313035</v>
      </c>
      <c r="D28" s="17" cm="1">
        <f t="array" ref="D28">CrankNicolsonCallPrice(A28, $B$4, $B$5, $B$7, $B$8, $B$10, $B$11, $B$12, $B$13, 1)</f>
        <v>30</v>
      </c>
      <c r="E28" s="17" cm="1">
        <f t="array" ref="E28">CrankNicolsonPutPrice(A28, $B$4, $B$5, $B$7, $B$8, $B$10, $B$11, $B$12, $B$13, 1)</f>
        <v>1.6897542668313035</v>
      </c>
      <c r="G28" s="17" cm="1">
        <f t="array" ref="G28">CrankNicolsonDeltaCall(A28, $B$4, $B$5, $B$7, $B$8, $B$10, $B$11, $B$12, $B$13, 0)</f>
        <v>0.8784769709314697</v>
      </c>
      <c r="H28" s="17" cm="1">
        <f t="array" ref="H28">CrankNicolsonDeltaPut(A28, $B$4, $B$5, $B$7, $B$8, $B$10, $B$11, $B$12, $B$13, 0)</f>
        <v>-0.12129006776145786</v>
      </c>
      <c r="I28" s="17" cm="1">
        <f t="array" ref="I28">CrankNicolsonDeltaCall(A28, $B$4, $B$5, $B$7, $B$8, $B$10, $B$11, $B$12, $B$13, 1)</f>
        <v>1.0000000000000087</v>
      </c>
      <c r="J28" s="17" cm="1">
        <f t="array" ref="J28">CrankNicolsonDeltaPut(A28, $B$4, $B$5, $B$7, $B$8, $B$10, $B$11, $B$12, $B$13, 1)</f>
        <v>-0.12129006776145786</v>
      </c>
      <c r="L28" s="17" cm="1">
        <f t="array" ref="L28">FrontiereExerciceCall(A28,$B$4,D28)</f>
        <v>1</v>
      </c>
      <c r="M28" s="17" cm="1">
        <f t="array" ref="M28">FrontiereExercicePut(A28,$B$4,E28)</f>
        <v>0</v>
      </c>
    </row>
    <row r="29" spans="1:13" x14ac:dyDescent="0.3">
      <c r="A29" s="5">
        <f t="shared" si="0"/>
        <v>140</v>
      </c>
      <c r="B29" s="17" cm="1">
        <f t="array" ref="B29">CrankNicolsonCallPrice(A29, $B$4, $B$5, $B$7, $B$8, $B$10, $B$11, $B$12, $B$13, 0)</f>
        <v>35.719978278820655</v>
      </c>
      <c r="C29" s="17" cm="1">
        <f t="array" ref="C29">CrankNicolsonPutPrice(A29, $B$4, $B$5, $B$7, $B$8, $B$10, $B$11, $B$12, $B$13, 0)</f>
        <v>0.80536631251461499</v>
      </c>
      <c r="D29" s="17" cm="1">
        <f t="array" ref="D29">CrankNicolsonCallPrice(A29, $B$4, $B$5, $B$7, $B$8, $B$10, $B$11, $B$12, $B$13, 1)</f>
        <v>40</v>
      </c>
      <c r="E29" s="17" cm="1">
        <f t="array" ref="E29">CrankNicolsonPutPrice(A29, $B$4, $B$5, $B$7, $B$8, $B$10, $B$11, $B$12, $B$13, 1)</f>
        <v>0.80536631251461499</v>
      </c>
      <c r="G29" s="17" cm="1">
        <f t="array" ref="G29">CrankNicolsonDeltaCall(A29, $B$4, $B$5, $B$7, $B$8, $B$10, $B$11, $B$12, $B$13, 0)</f>
        <v>0.93717299781671048</v>
      </c>
      <c r="H29" s="17" cm="1">
        <f t="array" ref="H29">CrankNicolsonDeltaPut(A29, $B$4, $B$5, $B$7, $B$8, $B$10, $B$11, $B$12, $B$13, 0)</f>
        <v>-6.1738663791892627E-2</v>
      </c>
      <c r="I29" s="17" cm="1">
        <f t="array" ref="I29">CrankNicolsonDeltaCall(A29, $B$4, $B$5, $B$7, $B$8, $B$10, $B$11, $B$12, $B$13, 1)</f>
        <v>1.000000000000004</v>
      </c>
      <c r="J29" s="17" cm="1">
        <f t="array" ref="J29">CrankNicolsonDeltaPut(A29, $B$4, $B$5, $B$7, $B$8, $B$10, $B$11, $B$12, $B$13, 1)</f>
        <v>-6.1738663791892627E-2</v>
      </c>
      <c r="L29" s="17" cm="1">
        <f t="array" ref="L29">FrontiereExerciceCall(A29,$B$4,D29)</f>
        <v>1</v>
      </c>
      <c r="M29" s="17" cm="1">
        <f t="array" ref="M29">FrontiereExercicePut(A29,$B$4,E29)</f>
        <v>0</v>
      </c>
    </row>
    <row r="30" spans="1:13" x14ac:dyDescent="0.3">
      <c r="A30" s="5">
        <f t="shared" si="0"/>
        <v>150</v>
      </c>
      <c r="B30" s="17" cm="1">
        <f t="array" ref="B30">CrankNicolsonCallPrice(A30, $B$4, $B$5, $B$7, $B$8, $B$10, $B$11, $B$12, $B$13, 0)</f>
        <v>45.259355841538266</v>
      </c>
      <c r="C30" s="17" cm="1">
        <f t="array" ref="C30">CrankNicolsonPutPrice(A30, $B$4, $B$5, $B$7, $B$8, $B$10, $B$11, $B$12, $B$13, 0)</f>
        <v>0.36746242280541908</v>
      </c>
      <c r="D30" s="17" cm="1">
        <f t="array" ref="D30">CrankNicolsonCallPrice(A30, $B$4, $B$5, $B$7, $B$8, $B$10, $B$11, $B$12, $B$13, 1)</f>
        <v>50</v>
      </c>
      <c r="E30" s="17" cm="1">
        <f t="array" ref="E30">CrankNicolsonPutPrice(A30, $B$4, $B$5, $B$7, $B$8, $B$10, $B$11, $B$12, $B$13, 1)</f>
        <v>0.36746242280541908</v>
      </c>
      <c r="G30" s="17" cm="1">
        <f t="array" ref="G30">CrankNicolsonDeltaCall(A30, $B$4, $B$5, $B$7, $B$8, $B$10, $B$11, $B$12, $B$13, 0)</f>
        <v>0.96630747392250294</v>
      </c>
      <c r="H30" s="17" cm="1">
        <f t="array" ref="H30">CrankNicolsonDeltaPut(A30, $B$4, $B$5, $B$7, $B$8, $B$10, $B$11, $B$12, $B$13, 0)</f>
        <v>-2.9634908220826706E-2</v>
      </c>
      <c r="I30" s="17" cm="1">
        <f t="array" ref="I30">CrankNicolsonDeltaCall(A30, $B$4, $B$5, $B$7, $B$8, $B$10, $B$11, $B$12, $B$13, 1)</f>
        <v>1</v>
      </c>
      <c r="J30" s="17" cm="1">
        <f t="array" ref="J30">CrankNicolsonDeltaPut(A30, $B$4, $B$5, $B$7, $B$8, $B$10, $B$11, $B$12, $B$13, 1)</f>
        <v>-2.9634908220826706E-2</v>
      </c>
      <c r="L30" s="17" cm="1">
        <f t="array" ref="L30">FrontiereExerciceCall(A30,$B$4,D30)</f>
        <v>1</v>
      </c>
      <c r="M30" s="17" cm="1">
        <f t="array" ref="M30">FrontiereExercicePut(A30,$B$4,E30)</f>
        <v>0</v>
      </c>
    </row>
    <row r="31" spans="1:13" x14ac:dyDescent="0.3">
      <c r="E31">
        <v>1</v>
      </c>
    </row>
  </sheetData>
  <dataValidations count="9">
    <dataValidation type="date" operator="greaterThanOrEqual" allowBlank="1" showInputMessage="1" showErrorMessage="1" promptTitle="Warning" prompt="If the cell is empty, today's date will be used by default" sqref="B13" xr:uid="{31E28137-AC14-4D37-82E4-C9D5C6BE1D41}">
      <formula1>1</formula1>
    </dataValidation>
    <dataValidation type="decimal" operator="greaterThan" allowBlank="1" showInputMessage="1" showErrorMessage="1" errorTitle="Error : " error="S max must be strictly greater than the current spot price" promptTitle="Warning" prompt="S max must be strictly greater than the current spot price" sqref="B12" xr:uid="{A4064003-1D00-4C77-8F32-0CA2E6B85AB0}">
      <formula1>B3</formula1>
    </dataValidation>
    <dataValidation type="whole" operator="greaterThan" allowBlank="1" showInputMessage="1" showErrorMessage="1" errorTitle="Error : " error="Spot Steps must be a strictly positive integer" promptTitle="Warning" prompt="Spot Steps must be a strictly positive integer" sqref="B11" xr:uid="{43ABD8C0-7E32-47D6-9469-9A0022BE45B8}">
      <formula1>0</formula1>
    </dataValidation>
    <dataValidation type="whole" operator="greaterThan" allowBlank="1" showInputMessage="1" showErrorMessage="1" errorTitle="Error : " error="Time Steps must be a strictly positive integer" promptTitle="Warning " prompt="Time Steps must be a strictly positive integer" sqref="B10" xr:uid="{CA03C041-CA76-445C-B0C9-08F433F03FE7}">
      <formula1>0</formula1>
    </dataValidation>
    <dataValidation type="decimal" operator="greaterThanOrEqual" allowBlank="1" showInputMessage="1" showErrorMessage="1" errorTitle="Error : " error="Volatility must be strictly positive" promptTitle="Warning" prompt="Volatility must be strictly positive" sqref="B7" xr:uid="{A8AC7BC9-4F71-4E11-B6C3-2E3E9D44F2D2}">
      <formula1>0</formula1>
    </dataValidation>
    <dataValidation type="decimal" operator="greaterThan" allowBlank="1" showInputMessage="1" showErrorMessage="1" errorTitle="Error :" error="Underlying price must be strictly positive" promptTitle="Warning" prompt="Underlying price must be strictly positive" sqref="B3 A20:A30" xr:uid="{17EB3610-1A5A-4A09-9341-3116985D2CE4}">
      <formula1>0</formula1>
    </dataValidation>
    <dataValidation type="decimal" operator="greaterThan" allowBlank="1" showInputMessage="1" showErrorMessage="1" errorTitle="Error :" error="Strike price must be strictly positive" promptTitle="Warning" prompt="Strike price must be strictly positive" sqref="B4" xr:uid="{4537676F-9FFD-40B2-86D1-09D00420D388}">
      <formula1>0</formula1>
    </dataValidation>
    <dataValidation type="decimal" operator="greaterThan" allowBlank="1" showInputMessage="1" showErrorMessage="1" errorTitle="Error :" error="Maturity must be strictly positive" promptTitle="Warning" prompt="Maturity must be strictly positive" sqref="B5" xr:uid="{460D9CA8-22B2-4F8C-952E-23474D775A13}">
      <formula1>0</formula1>
    </dataValidation>
    <dataValidation type="date" operator="greaterThanOrEqual" allowBlank="1" showInputMessage="1" showErrorMessage="1" sqref="C12" xr:uid="{2AA867CF-35ED-41DE-8C98-932903A76CBA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ctualiserToutesLesCellules">
                <anchor moveWithCells="1" sizeWithCells="1">
                  <from>
                    <xdr:col>3</xdr:col>
                    <xdr:colOff>777240</xdr:colOff>
                    <xdr:row>2</xdr:row>
                    <xdr:rowOff>160020</xdr:rowOff>
                  </from>
                  <to>
                    <xdr:col>6</xdr:col>
                    <xdr:colOff>784860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B163-ADB2-412B-8E05-32EE42FE409E}">
  <sheetPr codeName="Feuil4"/>
  <dimension ref="A1:K15"/>
  <sheetViews>
    <sheetView workbookViewId="0">
      <selection activeCell="E23" sqref="E23"/>
    </sheetView>
  </sheetViews>
  <sheetFormatPr baseColWidth="10" defaultRowHeight="14.4" x14ac:dyDescent="0.3"/>
  <cols>
    <col min="1" max="1" width="19.77734375" bestFit="1" customWidth="1"/>
    <col min="2" max="2" width="15.109375" customWidth="1"/>
  </cols>
  <sheetData>
    <row r="1" spans="1:11" ht="25.8" x14ac:dyDescent="0.5">
      <c r="A1" s="45" t="s">
        <v>47</v>
      </c>
      <c r="B1" s="37"/>
      <c r="C1" s="37"/>
      <c r="D1" s="37"/>
      <c r="E1" s="37"/>
      <c r="F1" s="37"/>
      <c r="G1" s="37"/>
      <c r="H1" s="37"/>
      <c r="I1" s="37"/>
      <c r="J1" s="37"/>
      <c r="K1" s="39"/>
    </row>
    <row r="2" spans="1:11" ht="18" x14ac:dyDescent="0.35">
      <c r="A2" s="44" t="s">
        <v>16</v>
      </c>
      <c r="B2" s="19"/>
      <c r="C2" s="20"/>
      <c r="D2" s="41"/>
      <c r="E2" s="42" t="s">
        <v>36</v>
      </c>
      <c r="F2" s="19"/>
      <c r="G2" s="41"/>
      <c r="H2" s="43"/>
      <c r="I2" s="42" t="s">
        <v>37</v>
      </c>
      <c r="J2" s="19"/>
      <c r="K2" s="20"/>
    </row>
    <row r="3" spans="1:11" ht="15.6" x14ac:dyDescent="0.3">
      <c r="A3" s="72" t="s">
        <v>17</v>
      </c>
      <c r="B3" s="5">
        <v>100</v>
      </c>
      <c r="C3" s="71"/>
      <c r="D3" s="8"/>
      <c r="E3" s="74"/>
      <c r="F3" s="15"/>
      <c r="G3" s="73" t="s">
        <v>23</v>
      </c>
      <c r="H3" s="69" t="s">
        <v>13</v>
      </c>
      <c r="I3" s="69" t="s">
        <v>24</v>
      </c>
      <c r="J3" s="69" t="s">
        <v>25</v>
      </c>
      <c r="K3" s="69" t="s">
        <v>14</v>
      </c>
    </row>
    <row r="4" spans="1:11" ht="15.6" x14ac:dyDescent="0.3">
      <c r="A4" s="70" t="s">
        <v>18</v>
      </c>
      <c r="B4" s="5">
        <v>100</v>
      </c>
      <c r="C4" s="71"/>
      <c r="D4" s="70" t="s">
        <v>9</v>
      </c>
      <c r="E4" s="17" cm="1">
        <f t="array" ref="E4">BinomialCallPrice(B3,B4,B5,B7,B8,B10,B11, 0)</f>
        <v>10.25340904487193</v>
      </c>
      <c r="F4" s="3"/>
      <c r="G4" s="17" cm="1">
        <f t="array" ref="G4">BinomialDeltaCall(B3,B4,B5,B7,B8,B10,B11, 0)</f>
        <v>0.63368287889728148</v>
      </c>
      <c r="H4" s="17" cm="1">
        <f t="array" ref="H4">BinomialGamma(B3,B4,B5,B7,B8,B10,B11, 0)</f>
        <v>0.23145274872612909</v>
      </c>
      <c r="I4" s="17" cm="1">
        <f t="array" ref="I4">BinomialThetaCall(B3,B4,B5,B7,B8,B10,B11, 0)</f>
        <v>6.3181429862717753</v>
      </c>
      <c r="J4" s="17" cm="1">
        <f t="array" ref="J4">BinomialRhoCall(B3,B4,B5,B7,B8,B10,B11, 0)</f>
        <v>53.114810768219556</v>
      </c>
      <c r="K4" s="17" cm="1">
        <f t="array" ref="K4">BinomialVega(B3,B4,B5,B7,B8,B10,B11, 0)</f>
        <v>36.592887276193316</v>
      </c>
    </row>
    <row r="5" spans="1:11" ht="15.6" x14ac:dyDescent="0.3">
      <c r="A5" s="70" t="s">
        <v>19</v>
      </c>
      <c r="B5" s="5">
        <v>1</v>
      </c>
      <c r="C5" s="71"/>
      <c r="D5" s="10"/>
      <c r="E5" s="2"/>
      <c r="F5" s="12"/>
      <c r="G5" s="2"/>
      <c r="H5" s="2"/>
      <c r="I5" s="2"/>
      <c r="J5" s="2"/>
      <c r="K5" s="12"/>
    </row>
    <row r="6" spans="1:11" ht="15.6" x14ac:dyDescent="0.3">
      <c r="A6" s="70" t="s">
        <v>32</v>
      </c>
      <c r="B6" s="49" t="str">
        <f>HYPERLINK("#Rate!A1", "Rate Data")</f>
        <v>Rate Data</v>
      </c>
      <c r="C6" s="71"/>
      <c r="D6" s="70" t="s">
        <v>10</v>
      </c>
      <c r="E6" s="17" cm="1">
        <f t="array" ref="E6">BinomialPutPrice(B3,B4,B5,B7,B8,B10,B11, 0)</f>
        <v>5.3763514949434388</v>
      </c>
      <c r="F6" s="3"/>
      <c r="G6" s="17" cm="1">
        <f t="array" ref="G6">BinomialDeltaPut(B3,B4,B5,B7,B8,B10,B11, 0)</f>
        <v>-0.36631712110271675</v>
      </c>
      <c r="H6" s="3"/>
      <c r="I6" s="17" cm="1">
        <f t="array" ref="I6">BinomialThetaPut(B3,B4,B5,B7,B8,B10,B11, 0)</f>
        <v>1.561670085440432</v>
      </c>
      <c r="J6" s="17" cm="1">
        <f t="array" ref="J6">BinomialRhoPut(B3,B4,B5,B7,B8,B10,B11, 0)</f>
        <v>-42.008147535597118</v>
      </c>
      <c r="K6" s="4"/>
    </row>
    <row r="7" spans="1:11" ht="15.6" x14ac:dyDescent="0.3">
      <c r="A7" s="70" t="s">
        <v>21</v>
      </c>
      <c r="B7" s="6">
        <v>0.2</v>
      </c>
      <c r="C7" s="71"/>
      <c r="D7" s="10"/>
      <c r="E7" s="2"/>
      <c r="F7" s="12"/>
      <c r="G7" s="2"/>
      <c r="H7" s="2"/>
      <c r="I7" s="2"/>
      <c r="J7" s="2"/>
      <c r="K7" s="12"/>
    </row>
    <row r="8" spans="1:11" ht="15.6" x14ac:dyDescent="0.3">
      <c r="A8" s="65" t="s">
        <v>22</v>
      </c>
      <c r="B8" s="6">
        <v>0</v>
      </c>
      <c r="C8" s="71"/>
      <c r="D8" s="16"/>
      <c r="E8" s="13"/>
      <c r="F8" s="9"/>
      <c r="G8" s="2"/>
      <c r="H8" s="2"/>
      <c r="I8" s="2"/>
      <c r="J8" s="2"/>
      <c r="K8" s="12"/>
    </row>
    <row r="9" spans="1:11" ht="18" x14ac:dyDescent="0.35">
      <c r="A9" s="44" t="s">
        <v>46</v>
      </c>
      <c r="B9" s="80"/>
      <c r="C9" s="20"/>
      <c r="D9" s="75"/>
      <c r="E9" s="76" t="s">
        <v>38</v>
      </c>
      <c r="F9" s="77"/>
      <c r="G9" s="75"/>
      <c r="H9" s="78"/>
      <c r="I9" s="76" t="s">
        <v>39</v>
      </c>
      <c r="J9" s="77"/>
      <c r="K9" s="79"/>
    </row>
    <row r="10" spans="1:11" ht="15.6" x14ac:dyDescent="0.3">
      <c r="A10" s="72" t="s">
        <v>7</v>
      </c>
      <c r="B10" s="5">
        <v>10</v>
      </c>
      <c r="C10" s="71"/>
      <c r="D10" s="8"/>
      <c r="E10" s="74"/>
      <c r="F10" s="15"/>
      <c r="G10" s="73" t="s">
        <v>23</v>
      </c>
      <c r="H10" s="69" t="s">
        <v>13</v>
      </c>
      <c r="I10" s="69" t="s">
        <v>24</v>
      </c>
      <c r="J10" s="69" t="s">
        <v>25</v>
      </c>
      <c r="K10" s="69" t="s">
        <v>14</v>
      </c>
    </row>
    <row r="11" spans="1:11" ht="15.6" x14ac:dyDescent="0.3">
      <c r="A11" s="70" t="s">
        <v>6</v>
      </c>
      <c r="B11" s="28">
        <v>45724</v>
      </c>
      <c r="C11" s="71"/>
      <c r="D11" s="70" t="s">
        <v>9</v>
      </c>
      <c r="E11" s="17" cm="1">
        <f t="array" ref="E11">BinomialCallPrice(B3,B4,B5,B7,B8,B10,B11, 1)</f>
        <v>10.25340904487193</v>
      </c>
      <c r="F11" s="3"/>
      <c r="G11" s="17" cm="1">
        <f t="array" ref="G11">BinomialDeltaCall(B3,B4,B5,B7,B8,B10,B11, 1)</f>
        <v>0.63368287889728148</v>
      </c>
      <c r="H11" s="17" cm="1">
        <f t="array" ref="H11">BinomialGamma(B3,B4,B5,B7,B8,B10,B11, 1)</f>
        <v>0.23145274872612909</v>
      </c>
      <c r="I11" s="17" cm="1">
        <f t="array" ref="I11">BinomialThetaCall(B3,B4,B5,B7,B8,B10,B11, 1)</f>
        <v>6.3181429862717753</v>
      </c>
      <c r="J11" s="17" cm="1">
        <f t="array" ref="J11">BinomialRhoCall(B3,B4,B5,B7,B8,B10,B11, 1)</f>
        <v>53.114810768219556</v>
      </c>
      <c r="K11" s="17" cm="1">
        <f t="array" ref="K11">BinomialVega(B3,B4,B5,B7,B8,B10,B11, 1)</f>
        <v>36.592887276193316</v>
      </c>
    </row>
    <row r="12" spans="1:11" ht="15.6" x14ac:dyDescent="0.3">
      <c r="A12" s="65"/>
      <c r="B12" s="2"/>
      <c r="C12" s="71"/>
      <c r="D12" s="10"/>
      <c r="E12" s="2"/>
      <c r="F12" s="12"/>
      <c r="G12" s="2"/>
      <c r="H12" s="2"/>
      <c r="I12" s="2"/>
      <c r="J12" s="2"/>
      <c r="K12" s="12"/>
    </row>
    <row r="13" spans="1:11" ht="15.6" x14ac:dyDescent="0.3">
      <c r="A13" s="72"/>
      <c r="B13" s="13"/>
      <c r="C13" s="9"/>
      <c r="D13" s="70" t="s">
        <v>10</v>
      </c>
      <c r="E13" s="17" cm="1">
        <f t="array" ref="E13">BinomialPutPrice(B3,B4,B5,B7,B8,B10,B11, 1)</f>
        <v>6.0042590201829515</v>
      </c>
      <c r="F13" s="3"/>
      <c r="G13" s="17" cm="1">
        <f t="array" ref="G13">BinomialDeltaPut(B3,B4,B5,B7,B8,B10,B11, 1)</f>
        <v>-0.44328745823766758</v>
      </c>
      <c r="H13" s="3"/>
      <c r="I13" s="17" cm="1">
        <f t="array" ref="I13">BinomialThetaPut(B3,B4,B5,B7,B8,B10,B11, 1)</f>
        <v>2.1814270196755414</v>
      </c>
      <c r="J13" s="17" cm="1">
        <f t="array" ref="J13">BinomialRhoPut(B3,B4,B5,B7,B8,B10,B11, 1)</f>
        <v>-30.795631372711796</v>
      </c>
      <c r="K13" s="4"/>
    </row>
    <row r="14" spans="1:11" ht="15.6" x14ac:dyDescent="0.3">
      <c r="A14" s="64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3">
      <c r="A15" s="68" t="s">
        <v>45</v>
      </c>
      <c r="B15" s="2"/>
      <c r="C15" s="2"/>
      <c r="D15" s="2"/>
      <c r="E15" s="2"/>
      <c r="F15" s="2"/>
      <c r="G15" s="2"/>
      <c r="H15" s="2"/>
      <c r="I15" s="2"/>
      <c r="J15" s="2"/>
      <c r="K15" s="2"/>
    </row>
  </sheetData>
  <dataValidations count="7">
    <dataValidation type="date" operator="greaterThanOrEqual" allowBlank="1" showInputMessage="1" showErrorMessage="1" sqref="C10:C12 C3:C8" xr:uid="{39D5F74A-BECC-43EA-863A-D9CED82CB697}">
      <formula1>1</formula1>
    </dataValidation>
    <dataValidation type="decimal" operator="greaterThanOrEqual" allowBlank="1" showInputMessage="1" showErrorMessage="1" errorTitle="Error : " error="Volatility must be strictly positive" promptTitle="Warning" prompt="Volatility must be strictly positive" sqref="B7" xr:uid="{098492D8-E0AE-46DF-AA9B-F29E3F056A5E}">
      <formula1>0</formula1>
    </dataValidation>
    <dataValidation type="decimal" operator="greaterThan" allowBlank="1" showInputMessage="1" showErrorMessage="1" errorTitle="Error :" error="Underlying price must be strictly positive" promptTitle="Warning" prompt="Underlying price must be strictly positive" sqref="B3" xr:uid="{9F31226F-A4CB-4DD9-8F80-3AC59D57328C}">
      <formula1>0</formula1>
    </dataValidation>
    <dataValidation type="decimal" operator="greaterThan" allowBlank="1" showInputMessage="1" showErrorMessage="1" errorTitle="Error :" error="Strike price must be strictly positive" promptTitle="Warning" prompt="Strike price must be strictly positive" sqref="B4" xr:uid="{F20E880E-C28C-4383-8A5D-4BDA0563635F}">
      <formula1>0</formula1>
    </dataValidation>
    <dataValidation type="decimal" operator="greaterThan" allowBlank="1" showInputMessage="1" showErrorMessage="1" errorTitle="Error :" error="Maturity must be strictly positive" promptTitle="Warning" prompt="Maturity must be strictly positive" sqref="B5" xr:uid="{E5AB2D6A-C548-4C7A-9B10-589C507C2C4E}">
      <formula1>0</formula1>
    </dataValidation>
    <dataValidation type="date" operator="greaterThanOrEqual" allowBlank="1" showInputMessage="1" showErrorMessage="1" promptTitle="Warning" prompt="If the cell is empty, today's date will be used by default" sqref="B11" xr:uid="{E124B193-A469-4A67-B6B5-B440ADB810D2}">
      <formula1>1</formula1>
    </dataValidation>
    <dataValidation type="whole" operator="greaterThan" allowBlank="1" showInputMessage="1" showErrorMessage="1" errorTitle="Error :" error="Binomial Steps must be a strictly positive integer" promptTitle="Warning " prompt="Binomial Steps must be a strictly positive integer" sqref="B10" xr:uid="{3D402ED1-9FB0-4060-AEDE-702EDB845E4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ctualiserToutesLesCellules">
                <anchor moveWithCells="1" sizeWithCells="1">
                  <from>
                    <xdr:col>11</xdr:col>
                    <xdr:colOff>784860</xdr:colOff>
                    <xdr:row>2</xdr:row>
                    <xdr:rowOff>190500</xdr:rowOff>
                  </from>
                  <to>
                    <xdr:col>15</xdr:col>
                    <xdr:colOff>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1DAB-56B1-413E-8C65-B5240FC604A5}">
  <sheetPr codeName="Feuil7"/>
  <dimension ref="A1:M30"/>
  <sheetViews>
    <sheetView tabSelected="1" zoomScale="90" workbookViewId="0">
      <selection activeCell="J20" sqref="J20"/>
    </sheetView>
  </sheetViews>
  <sheetFormatPr baseColWidth="10" defaultRowHeight="14.4" x14ac:dyDescent="0.3"/>
  <cols>
    <col min="1" max="1" width="19.77734375" bestFit="1" customWidth="1"/>
  </cols>
  <sheetData>
    <row r="1" spans="1:7" ht="25.8" x14ac:dyDescent="0.5">
      <c r="A1" s="45" t="s">
        <v>47</v>
      </c>
      <c r="B1" s="37"/>
      <c r="C1" s="37"/>
      <c r="D1" s="2"/>
      <c r="E1" s="2"/>
      <c r="F1" s="2"/>
      <c r="G1" s="2"/>
    </row>
    <row r="2" spans="1:7" ht="18" x14ac:dyDescent="0.35">
      <c r="A2" s="44" t="s">
        <v>16</v>
      </c>
      <c r="B2" s="19"/>
      <c r="C2" s="20"/>
      <c r="D2" s="2"/>
      <c r="E2" s="2"/>
      <c r="F2" s="2"/>
      <c r="G2" s="2"/>
    </row>
    <row r="3" spans="1:7" ht="15.6" x14ac:dyDescent="0.3">
      <c r="A3" s="72" t="s">
        <v>17</v>
      </c>
      <c r="B3" s="5">
        <v>100</v>
      </c>
      <c r="C3" s="71"/>
      <c r="D3" s="2"/>
      <c r="E3" s="2"/>
      <c r="F3" s="2"/>
      <c r="G3" s="2"/>
    </row>
    <row r="4" spans="1:7" ht="15.6" x14ac:dyDescent="0.3">
      <c r="A4" s="70" t="s">
        <v>18</v>
      </c>
      <c r="B4" s="5">
        <v>100</v>
      </c>
      <c r="C4" s="71"/>
      <c r="D4" s="2"/>
      <c r="E4" s="2"/>
      <c r="F4" s="2"/>
      <c r="G4" s="2"/>
    </row>
    <row r="5" spans="1:7" ht="15.6" x14ac:dyDescent="0.3">
      <c r="A5" s="70" t="s">
        <v>19</v>
      </c>
      <c r="B5" s="5">
        <v>1</v>
      </c>
      <c r="C5" s="71"/>
      <c r="D5" s="2"/>
      <c r="E5" s="2"/>
      <c r="F5" s="2"/>
      <c r="G5" s="2"/>
    </row>
    <row r="6" spans="1:7" ht="15.6" x14ac:dyDescent="0.3">
      <c r="A6" s="70" t="s">
        <v>32</v>
      </c>
      <c r="B6" s="49" t="str">
        <f>HYPERLINK("#Rate!A1", "Rate Data")</f>
        <v>Rate Data</v>
      </c>
      <c r="C6" s="71"/>
      <c r="D6" s="2"/>
      <c r="E6" s="2"/>
      <c r="F6" s="2"/>
      <c r="G6" s="2"/>
    </row>
    <row r="7" spans="1:7" ht="15.6" x14ac:dyDescent="0.3">
      <c r="A7" s="70" t="s">
        <v>21</v>
      </c>
      <c r="B7" s="6">
        <v>0.2</v>
      </c>
      <c r="C7" s="71"/>
      <c r="D7" s="2"/>
      <c r="E7" s="2"/>
      <c r="F7" s="2"/>
      <c r="G7" s="2"/>
    </row>
    <row r="8" spans="1:7" ht="15.6" x14ac:dyDescent="0.3">
      <c r="A8" s="65" t="s">
        <v>22</v>
      </c>
      <c r="B8" s="6">
        <v>0</v>
      </c>
      <c r="C8" s="71"/>
      <c r="D8" s="2"/>
      <c r="E8" s="2"/>
      <c r="F8" s="2"/>
      <c r="G8" s="2"/>
    </row>
    <row r="9" spans="1:7" ht="18" x14ac:dyDescent="0.35">
      <c r="A9" s="44" t="s">
        <v>46</v>
      </c>
      <c r="B9" s="80"/>
      <c r="C9" s="20"/>
      <c r="D9" s="2"/>
      <c r="E9" s="2"/>
      <c r="F9" s="2"/>
      <c r="G9" s="2"/>
    </row>
    <row r="10" spans="1:7" ht="15.6" x14ac:dyDescent="0.3">
      <c r="A10" s="72" t="s">
        <v>7</v>
      </c>
      <c r="B10" s="5">
        <v>100</v>
      </c>
      <c r="C10" s="71"/>
      <c r="D10" s="2"/>
      <c r="E10" s="2"/>
      <c r="F10" s="2"/>
      <c r="G10" s="2"/>
    </row>
    <row r="11" spans="1:7" ht="15.6" x14ac:dyDescent="0.3">
      <c r="A11" s="70" t="s">
        <v>6</v>
      </c>
      <c r="B11" s="28">
        <v>45724</v>
      </c>
      <c r="C11" s="71"/>
      <c r="D11" s="2"/>
      <c r="E11" s="2"/>
      <c r="F11" s="2"/>
      <c r="G11" s="2"/>
    </row>
    <row r="12" spans="1:7" ht="15.6" x14ac:dyDescent="0.3">
      <c r="A12" s="65"/>
      <c r="B12" s="2"/>
      <c r="C12" s="71"/>
      <c r="D12" s="2"/>
      <c r="E12" s="2"/>
      <c r="F12" s="2"/>
      <c r="G12" s="2"/>
    </row>
    <row r="13" spans="1:7" ht="15.6" x14ac:dyDescent="0.3">
      <c r="A13" s="72"/>
      <c r="B13" s="13"/>
      <c r="C13" s="9"/>
      <c r="D13" s="2"/>
      <c r="E13" s="2"/>
      <c r="F13" s="2"/>
      <c r="G13" s="2"/>
    </row>
    <row r="14" spans="1:7" ht="15.6" x14ac:dyDescent="0.3">
      <c r="A14" s="64"/>
      <c r="B14" s="2"/>
      <c r="C14" s="2"/>
      <c r="D14" s="2"/>
      <c r="E14" s="2"/>
      <c r="F14" s="2"/>
      <c r="G14" s="2"/>
    </row>
    <row r="15" spans="1:7" x14ac:dyDescent="0.3">
      <c r="A15" s="68" t="s">
        <v>45</v>
      </c>
      <c r="B15" s="2"/>
      <c r="C15" s="2"/>
      <c r="D15" s="2"/>
      <c r="E15" s="2"/>
      <c r="F15" s="2"/>
      <c r="G15" s="2"/>
    </row>
    <row r="17" spans="1:13" ht="25.8" x14ac:dyDescent="0.5">
      <c r="A17" s="33" t="s">
        <v>50</v>
      </c>
      <c r="B17" s="34"/>
      <c r="C17" s="35"/>
      <c r="D17" s="34"/>
      <c r="E17" s="35"/>
      <c r="G17" s="33" t="s">
        <v>51</v>
      </c>
      <c r="H17" s="35"/>
      <c r="I17" s="36"/>
      <c r="J17" s="35"/>
      <c r="L17" s="33" t="s">
        <v>54</v>
      </c>
      <c r="M17" s="35"/>
    </row>
    <row r="18" spans="1:13" ht="18" x14ac:dyDescent="0.35">
      <c r="A18" s="40" t="s">
        <v>16</v>
      </c>
      <c r="B18" s="44" t="s">
        <v>52</v>
      </c>
      <c r="C18" s="20"/>
      <c r="D18" s="87" t="s">
        <v>53</v>
      </c>
      <c r="E18" s="20"/>
      <c r="G18" s="44" t="s">
        <v>52</v>
      </c>
      <c r="H18" s="84"/>
      <c r="I18" s="87" t="s">
        <v>53</v>
      </c>
      <c r="J18" s="84"/>
      <c r="L18" s="44" t="s">
        <v>55</v>
      </c>
      <c r="M18" s="84"/>
    </row>
    <row r="19" spans="1:13" ht="15.6" x14ac:dyDescent="0.3">
      <c r="A19" s="1" t="s">
        <v>17</v>
      </c>
      <c r="B19" s="1" t="s">
        <v>56</v>
      </c>
      <c r="C19" s="1" t="s">
        <v>57</v>
      </c>
      <c r="D19" s="1" t="s">
        <v>58</v>
      </c>
      <c r="E19" s="1" t="s">
        <v>59</v>
      </c>
      <c r="G19" s="1" t="s">
        <v>11</v>
      </c>
      <c r="H19" s="1" t="s">
        <v>12</v>
      </c>
      <c r="I19" s="1" t="s">
        <v>11</v>
      </c>
      <c r="J19" s="1" t="s">
        <v>12</v>
      </c>
      <c r="L19" s="1" t="s">
        <v>9</v>
      </c>
      <c r="M19" s="1" t="s">
        <v>10</v>
      </c>
    </row>
    <row r="20" spans="1:13" x14ac:dyDescent="0.3">
      <c r="A20" s="5">
        <f>B3-50</f>
        <v>50</v>
      </c>
      <c r="B20" s="17" cm="1">
        <f t="array" ref="B20">BinomialCallPrice(A20,$B$4,$B$5,$B$7,$B$8,$B$10,$B$11, 0)</f>
        <v>3.0926511422130193E-4</v>
      </c>
      <c r="C20" s="17" cm="1">
        <f t="array" ref="C20">BinomialPutPrice(A20,$B$4,$B$5,$B$7,$B$8,$B$10,$B$11, 0)</f>
        <v>55.127418902716045</v>
      </c>
      <c r="D20" s="17" cm="1">
        <f t="array" ref="D20">BinomialCallPrice(A20,$B$4,$B$5,$B$7,$B$8,$B$10,$B$11, 1)</f>
        <v>3.1466101704923945E-4</v>
      </c>
      <c r="E20" s="17" cm="1">
        <f t="array" ref="E20">BinomialPutPrice(A20,$B$4,$B$5,$B$7,$B$8,$B$10,$B$11, 1)</f>
        <v>55.127418902716045</v>
      </c>
      <c r="G20" s="17" cm="1">
        <f t="array" ref="G20">BinomialDeltaCall(A20,$B$4,$B$5,$B$7,$B$8,$B$10,$B$11, 0)</f>
        <v>1.1513019603833836E-4</v>
      </c>
      <c r="H20" s="17" cm="1">
        <f t="array" ref="H20">BinomialDeltaPut(A20,$B$4,$B$5,$B$7,$B$8,$B$10,$B$11, 0)</f>
        <v>-0.99988486980392821</v>
      </c>
      <c r="I20" s="17" cm="1">
        <f t="array" ref="I20">BinomialDeltaCall(A20,$B$4,$B$5,$B$7,$B$8,$B$10,$B$11, 1)</f>
        <v>1.1751096610414767E-4</v>
      </c>
      <c r="J20" s="17" cm="1">
        <f t="array" ref="J20">BinomialDeltaPut(A20,$B$4,$B$5,$B$7,$B$8,$B$10,$B$11, 1)</f>
        <v>-1</v>
      </c>
      <c r="L20" s="17" cm="1">
        <f t="array" ref="L20">FrontiereExerciceCall(A20,$B$4,D20)</f>
        <v>0</v>
      </c>
      <c r="M20" s="17" cm="1">
        <f t="array" ref="M20">FrontiereExercicePut(A20,$B$4,E20)</f>
        <v>0</v>
      </c>
    </row>
    <row r="21" spans="1:13" x14ac:dyDescent="0.3">
      <c r="A21" s="5">
        <f>A20+10</f>
        <v>60</v>
      </c>
      <c r="B21" s="17" cm="1">
        <f t="array" ref="B21">BinomialCallPrice(A21,$B$4,$B$5,$B$7,$B$8,$B$10,$B$11, 0)</f>
        <v>1.1480927734339614E-2</v>
      </c>
      <c r="C21" s="17" cm="1">
        <f t="array" ref="C21">BinomialPutPrice(A21,$B$4,$B$5,$B$7,$B$8,$B$10,$B$11, 0)</f>
        <v>45.13859056533623</v>
      </c>
      <c r="D21" s="17" cm="1">
        <f t="array" ref="D21">BinomialCallPrice(A21,$B$4,$B$5,$B$7,$B$8,$B$10,$B$11, 1)</f>
        <v>1.1800559622767614E-2</v>
      </c>
      <c r="E21" s="17" cm="1">
        <f t="array" ref="E21">BinomialPutPrice(A21,$B$4,$B$5,$B$7,$B$8,$B$10,$B$11, 1)</f>
        <v>45.13859056533623</v>
      </c>
      <c r="G21" s="17" cm="1">
        <f t="array" ref="G21">BinomialDeltaCall(A21,$B$4,$B$5,$B$7,$B$8,$B$10,$B$11, 0)</f>
        <v>3.8186848747117216E-3</v>
      </c>
      <c r="H21" s="17" cm="1">
        <f t="array" ref="H21">BinomialDeltaPut(A21,$B$4,$B$5,$B$7,$B$8,$B$10,$B$11, 0)</f>
        <v>-0.99618131512527819</v>
      </c>
      <c r="I21" s="17" cm="1">
        <f t="array" ref="I21">BinomialDeltaCall(A21,$B$4,$B$5,$B$7,$B$8,$B$10,$B$11, 1)</f>
        <v>3.886883937193027E-3</v>
      </c>
      <c r="J21" s="17" cm="1">
        <f t="array" ref="J21">BinomialDeltaPut(A21,$B$4,$B$5,$B$7,$B$8,$B$10,$B$11, 1)</f>
        <v>-1.0000000000000024</v>
      </c>
      <c r="L21" s="17" cm="1">
        <f t="array" ref="L21">FrontiereExerciceCall(A21,$B$4,D21)</f>
        <v>0</v>
      </c>
      <c r="M21" s="17" cm="1">
        <f t="array" ref="M21">FrontiereExercicePut(A21,$B$4,E21)</f>
        <v>0</v>
      </c>
    </row>
    <row r="22" spans="1:13" x14ac:dyDescent="0.3">
      <c r="A22" s="5">
        <f t="shared" ref="A22:A30" si="0">A21+10</f>
        <v>70</v>
      </c>
      <c r="B22" s="17" cm="1">
        <f t="array" ref="B22">BinomialCallPrice(A22,$B$4,$B$5,$B$7,$B$8,$B$10,$B$11, 0)</f>
        <v>0.13014959110030916</v>
      </c>
      <c r="C22" s="17" cm="1">
        <f t="array" ref="C22">BinomialPutPrice(A22,$B$4,$B$5,$B$7,$B$8,$B$10,$B$11, 0)</f>
        <v>35.257259228702253</v>
      </c>
      <c r="D22" s="17" cm="1">
        <f t="array" ref="D22">BinomialCallPrice(A22,$B$4,$B$5,$B$7,$B$8,$B$10,$B$11, 1)</f>
        <v>0.13496802780258871</v>
      </c>
      <c r="E22" s="17" cm="1">
        <f t="array" ref="E22">BinomialPutPrice(A22,$B$4,$B$5,$B$7,$B$8,$B$10,$B$11, 1)</f>
        <v>35.257259228702253</v>
      </c>
      <c r="G22" s="17" cm="1">
        <f t="array" ref="G22">BinomialDeltaCall(A22,$B$4,$B$5,$B$7,$B$8,$B$10,$B$11, 0)</f>
        <v>2.7955403509212752E-2</v>
      </c>
      <c r="H22" s="17" cm="1">
        <f t="array" ref="H22">BinomialDeltaPut(A22,$B$4,$B$5,$B$7,$B$8,$B$10,$B$11, 0)</f>
        <v>-0.97204459649077013</v>
      </c>
      <c r="I22" s="17" cm="1">
        <f t="array" ref="I22">BinomialDeltaCall(A22,$B$4,$B$5,$B$7,$B$8,$B$10,$B$11, 1)</f>
        <v>2.9100846314272656E-2</v>
      </c>
      <c r="J22" s="17" cm="1">
        <f t="array" ref="J22">BinomialDeltaPut(A22,$B$4,$B$5,$B$7,$B$8,$B$10,$B$11, 1)</f>
        <v>-1.000000000000004</v>
      </c>
      <c r="L22" s="17" cm="1">
        <f t="array" ref="L22">FrontiereExerciceCall(A22,$B$4,D22)</f>
        <v>0</v>
      </c>
      <c r="M22" s="17" cm="1">
        <f t="array" ref="M22">FrontiereExercicePut(A22,$B$4,E22)</f>
        <v>0</v>
      </c>
    </row>
    <row r="23" spans="1:13" x14ac:dyDescent="0.3">
      <c r="A23" s="5">
        <f t="shared" si="0"/>
        <v>80</v>
      </c>
      <c r="B23" s="17" cm="1">
        <f t="array" ref="B23">BinomialCallPrice(A23,$B$4,$B$5,$B$7,$B$8,$B$10,$B$11, 0)</f>
        <v>0.72732176059374432</v>
      </c>
      <c r="C23" s="17" cm="1">
        <f t="array" ref="C23">BinomialPutPrice(A23,$B$4,$B$5,$B$7,$B$8,$B$10,$B$11, 0)</f>
        <v>25.854431398195761</v>
      </c>
      <c r="D23" s="17" cm="1">
        <f t="array" ref="D23">BinomialCallPrice(A23,$B$4,$B$5,$B$7,$B$8,$B$10,$B$11, 1)</f>
        <v>0.75792732965097465</v>
      </c>
      <c r="E23" s="17" cm="1">
        <f t="array" ref="E23">BinomialPutPrice(A23,$B$4,$B$5,$B$7,$B$8,$B$10,$B$11, 1)</f>
        <v>25.854431398195761</v>
      </c>
      <c r="G23" s="17" cm="1">
        <f t="array" ref="G23">BinomialDeltaCall(A23,$B$4,$B$5,$B$7,$B$8,$B$10,$B$11, 0)</f>
        <v>0.10556137211697833</v>
      </c>
      <c r="H23" s="17" cm="1">
        <f t="array" ref="H23">BinomialDeltaPut(A23,$B$4,$B$5,$B$7,$B$8,$B$10,$B$11, 0)</f>
        <v>-0.89443862788300521</v>
      </c>
      <c r="I23" s="17" cm="1">
        <f t="array" ref="I23">BinomialDeltaCall(A23,$B$4,$B$5,$B$7,$B$8,$B$10,$B$11, 1)</f>
        <v>0.10951443376683488</v>
      </c>
      <c r="J23" s="17" cm="1">
        <f t="array" ref="J23">BinomialDeltaPut(A23,$B$4,$B$5,$B$7,$B$8,$B$10,$B$11, 1)</f>
        <v>-0.99999999999999645</v>
      </c>
      <c r="L23" s="17" cm="1">
        <f t="array" ref="L23">FrontiereExerciceCall(A23,$B$4,D23)</f>
        <v>0</v>
      </c>
      <c r="M23" s="17" cm="1">
        <f t="array" ref="M23">FrontiereExercicePut(A23,$B$4,E23)</f>
        <v>0</v>
      </c>
    </row>
    <row r="24" spans="1:13" x14ac:dyDescent="0.3">
      <c r="A24" s="5">
        <f t="shared" si="0"/>
        <v>90</v>
      </c>
      <c r="B24" s="17" cm="1">
        <f t="array" ref="B24">BinomialCallPrice(A24,$B$4,$B$5,$B$7,$B$8,$B$10,$B$11, 0)</f>
        <v>2.4401359947585854</v>
      </c>
      <c r="C24" s="17" cm="1">
        <f t="array" ref="C24">BinomialPutPrice(A24,$B$4,$B$5,$B$7,$B$8,$B$10,$B$11, 0)</f>
        <v>17.567245632360667</v>
      </c>
      <c r="D24" s="17" cm="1">
        <f t="array" ref="D24">BinomialCallPrice(A24,$B$4,$B$5,$B$7,$B$8,$B$10,$B$11, 1)</f>
        <v>2.5724170890270468</v>
      </c>
      <c r="E24" s="17" cm="1">
        <f t="array" ref="E24">BinomialPutPrice(A24,$B$4,$B$5,$B$7,$B$8,$B$10,$B$11, 1)</f>
        <v>17.567245632360667</v>
      </c>
      <c r="G24" s="17" cm="1">
        <f t="array" ref="G24">BinomialDeltaCall(A24,$B$4,$B$5,$B$7,$B$8,$B$10,$B$11, 0)</f>
        <v>0.25781612650238495</v>
      </c>
      <c r="H24" s="17" cm="1">
        <f t="array" ref="H24">BinomialDeltaPut(A24,$B$4,$B$5,$B$7,$B$8,$B$10,$B$11, 0)</f>
        <v>-0.74218387349761272</v>
      </c>
      <c r="I24" s="17" cm="1">
        <f t="array" ref="I24">BinomialDeltaCall(A24,$B$4,$B$5,$B$7,$B$8,$B$10,$B$11, 1)</f>
        <v>0.27139044406097712</v>
      </c>
      <c r="J24" s="17" cm="1">
        <f t="array" ref="J24">BinomialDeltaPut(A24,$B$4,$B$5,$B$7,$B$8,$B$10,$B$11, 1)</f>
        <v>-0.676823714932547</v>
      </c>
      <c r="L24" s="17" cm="1">
        <f t="array" ref="L24">FrontiereExerciceCall(A24,$B$4,D24)</f>
        <v>0</v>
      </c>
      <c r="M24" s="17" cm="1">
        <f t="array" ref="M24">FrontiereExercicePut(A24,$B$4,E24)</f>
        <v>0</v>
      </c>
    </row>
    <row r="25" spans="1:13" x14ac:dyDescent="0.3">
      <c r="A25" s="5">
        <f t="shared" si="0"/>
        <v>100</v>
      </c>
      <c r="B25" s="17" cm="1">
        <f t="array" ref="B25">BinomialCallPrice(A25,$B$4,$B$5,$B$7,$B$8,$B$10,$B$11, 0)</f>
        <v>5.8382909204433489</v>
      </c>
      <c r="C25" s="17" cm="1">
        <f t="array" ref="C25">BinomialPutPrice(A25,$B$4,$B$5,$B$7,$B$8,$B$10,$B$11, 0)</f>
        <v>10.965400558045504</v>
      </c>
      <c r="D25" s="17" cm="1">
        <f t="array" ref="D25">BinomialCallPrice(A25,$B$4,$B$5,$B$7,$B$8,$B$10,$B$11, 1)</f>
        <v>6.2560214632845907</v>
      </c>
      <c r="E25" s="17" cm="1">
        <f t="array" ref="E25">BinomialPutPrice(A25,$B$4,$B$5,$B$7,$B$8,$B$10,$B$11, 1)</f>
        <v>10.965400558045504</v>
      </c>
      <c r="G25" s="17" cm="1">
        <f t="array" ref="G25">BinomialDeltaCall(A25,$B$4,$B$5,$B$7,$B$8,$B$10,$B$11, 0)</f>
        <v>0.44050737704892651</v>
      </c>
      <c r="H25" s="17" cm="1">
        <f t="array" ref="H25">BinomialDeltaPut(A25,$B$4,$B$5,$B$7,$B$8,$B$10,$B$11, 0)</f>
        <v>-0.55949262295106816</v>
      </c>
      <c r="I25" s="17" cm="1">
        <f t="array" ref="I25">BinomialDeltaCall(A25,$B$4,$B$5,$B$7,$B$8,$B$10,$B$11, 1)</f>
        <v>0.48258404175628167</v>
      </c>
      <c r="J25" s="17" cm="1">
        <f t="array" ref="J25">BinomialDeltaPut(A25,$B$4,$B$5,$B$7,$B$8,$B$10,$B$11, 1)</f>
        <v>-0.41319153923031138</v>
      </c>
      <c r="L25" s="17" cm="1">
        <f t="array" ref="L25">FrontiereExerciceCall(A25,$B$4,D25)</f>
        <v>0</v>
      </c>
      <c r="M25" s="17" cm="1">
        <f t="array" ref="M25">FrontiereExercicePut(A25,$B$4,E25)</f>
        <v>0</v>
      </c>
    </row>
    <row r="26" spans="1:13" x14ac:dyDescent="0.3">
      <c r="A26" s="5">
        <f t="shared" si="0"/>
        <v>110</v>
      </c>
      <c r="B26" s="17" cm="1">
        <f t="array" ref="B26">BinomialCallPrice(A26,$B$4,$B$5,$B$7,$B$8,$B$10,$B$11, 0)</f>
        <v>11.236470487030273</v>
      </c>
      <c r="C26" s="17" cm="1">
        <f t="array" ref="C26">BinomialPutPrice(A26,$B$4,$B$5,$B$7,$B$8,$B$10,$B$11, 0)</f>
        <v>6.3635801246324943</v>
      </c>
      <c r="D26" s="17" cm="1">
        <f t="array" ref="D26">BinomialCallPrice(A26,$B$4,$B$5,$B$7,$B$8,$B$10,$B$11, 1)</f>
        <v>12.211917485417063</v>
      </c>
      <c r="E26" s="17" cm="1">
        <f t="array" ref="E26">BinomialPutPrice(A26,$B$4,$B$5,$B$7,$B$8,$B$10,$B$11, 1)</f>
        <v>6.3635801246324943</v>
      </c>
      <c r="G26" s="17" cm="1">
        <f t="array" ref="G26">BinomialDeltaCall(A26,$B$4,$B$5,$B$7,$B$8,$B$10,$B$11, 0)</f>
        <v>0.63656371140535206</v>
      </c>
      <c r="H26" s="17" cm="1">
        <f t="array" ref="H26">BinomialDeltaPut(A26,$B$4,$B$5,$B$7,$B$8,$B$10,$B$11, 0)</f>
        <v>-0.36343628859463345</v>
      </c>
      <c r="I26" s="17" cm="1">
        <f t="array" ref="I26">BinomialDeltaCall(A26,$B$4,$B$5,$B$7,$B$8,$B$10,$B$11, 1)</f>
        <v>0.7073677462522413</v>
      </c>
      <c r="J26" s="17" cm="1">
        <f t="array" ref="J26">BinomialDeltaPut(A26,$B$4,$B$5,$B$7,$B$8,$B$10,$B$11, 1)</f>
        <v>-0.21731332521846525</v>
      </c>
      <c r="L26" s="17" cm="1">
        <f t="array" ref="L26">FrontiereExerciceCall(A26,$B$4,D26)</f>
        <v>0</v>
      </c>
      <c r="M26" s="17" cm="1">
        <f t="array" ref="M26">FrontiereExercicePut(A26,$B$4,E26)</f>
        <v>0</v>
      </c>
    </row>
    <row r="27" spans="1:13" x14ac:dyDescent="0.3">
      <c r="A27" s="5">
        <f t="shared" si="0"/>
        <v>120</v>
      </c>
      <c r="B27" s="17" cm="1">
        <f t="array" ref="B27">BinomialCallPrice(A27,$B$4,$B$5,$B$7,$B$8,$B$10,$B$11, 0)</f>
        <v>18.295653179310971</v>
      </c>
      <c r="C27" s="17" cm="1">
        <f t="array" ref="C27">BinomialPutPrice(A27,$B$4,$B$5,$B$7,$B$8,$B$10,$B$11, 0)</f>
        <v>3.4227628169132678</v>
      </c>
      <c r="D27" s="17" cm="1">
        <f t="array" ref="D27">BinomialCallPrice(A27,$B$4,$B$5,$B$7,$B$8,$B$10,$B$11, 1)</f>
        <v>20.273139217606495</v>
      </c>
      <c r="E27" s="17" cm="1">
        <f t="array" ref="E27">BinomialPutPrice(A27,$B$4,$B$5,$B$7,$B$8,$B$10,$B$11, 1)</f>
        <v>3.4227628169132678</v>
      </c>
      <c r="G27" s="17" cm="1">
        <f t="array" ref="G27">BinomialDeltaCall(A27,$B$4,$B$5,$B$7,$B$8,$B$10,$B$11, 0)</f>
        <v>0.77323164702648217</v>
      </c>
      <c r="H27" s="17" cm="1">
        <f t="array" ref="H27">BinomialDeltaPut(A27,$B$4,$B$5,$B$7,$B$8,$B$10,$B$11, 0)</f>
        <v>-0.22676835297351594</v>
      </c>
      <c r="I27" s="17" cm="1">
        <f t="array" ref="I27">BinomialDeltaCall(A27,$B$4,$B$5,$B$7,$B$8,$B$10,$B$11, 1)</f>
        <v>0.90130559717919245</v>
      </c>
      <c r="J27" s="17" cm="1">
        <f t="array" ref="J27">BinomialDeltaPut(A27,$B$4,$B$5,$B$7,$B$8,$B$10,$B$11, 1)</f>
        <v>-0.11186008610771607</v>
      </c>
      <c r="L27" s="17" cm="1">
        <f t="array" ref="L27">FrontiereExerciceCall(A27,$B$4,D27)</f>
        <v>0</v>
      </c>
      <c r="M27" s="17" cm="1">
        <f t="array" ref="M27">FrontiereExercicePut(A27,$B$4,E27)</f>
        <v>0</v>
      </c>
    </row>
    <row r="28" spans="1:13" x14ac:dyDescent="0.3">
      <c r="A28" s="5">
        <f t="shared" si="0"/>
        <v>130</v>
      </c>
      <c r="B28" s="17" cm="1">
        <f t="array" ref="B28">BinomialCallPrice(A28,$B$4,$B$5,$B$7,$B$8,$B$10,$B$11, 0)</f>
        <v>26.598280166226303</v>
      </c>
      <c r="C28" s="17" cm="1">
        <f t="array" ref="C28">BinomialPutPrice(A28,$B$4,$B$5,$B$7,$B$8,$B$10,$B$11, 0)</f>
        <v>1.7253898038286608</v>
      </c>
      <c r="D28" s="17" cm="1">
        <f t="array" ref="D28">BinomialCallPrice(A28,$B$4,$B$5,$B$7,$B$8,$B$10,$B$11, 1)</f>
        <v>30</v>
      </c>
      <c r="E28" s="17" cm="1">
        <f t="array" ref="E28">BinomialPutPrice(A28,$B$4,$B$5,$B$7,$B$8,$B$10,$B$11, 1)</f>
        <v>1.7253898038286608</v>
      </c>
      <c r="G28" s="17" cm="1">
        <f t="array" ref="G28">BinomialDeltaCall(A28,$B$4,$B$5,$B$7,$B$8,$B$10,$B$11, 0)</f>
        <v>0.87503951634853538</v>
      </c>
      <c r="H28" s="17" cm="1">
        <f t="array" ref="H28">BinomialDeltaPut(A28,$B$4,$B$5,$B$7,$B$8,$B$10,$B$11, 0)</f>
        <v>-0.12496048365146455</v>
      </c>
      <c r="I28" s="17" cm="1">
        <f t="array" ref="I28">BinomialDeltaCall(A28,$B$4,$B$5,$B$7,$B$8,$B$10,$B$11, 1)</f>
        <v>1.0000000000000087</v>
      </c>
      <c r="J28" s="17" cm="1">
        <f t="array" ref="J28">BinomialDeltaPut(A28,$B$4,$B$5,$B$7,$B$8,$B$10,$B$11, 1)</f>
        <v>-5.1549024386287098E-2</v>
      </c>
      <c r="L28" s="17" cm="1">
        <f t="array" ref="L28">FrontiereExerciceCall(A28,$B$4,D28)</f>
        <v>1</v>
      </c>
      <c r="M28" s="17" cm="1">
        <f t="array" ref="M28">FrontiereExercicePut(A28,$B$4,E28)</f>
        <v>0</v>
      </c>
    </row>
    <row r="29" spans="1:13" x14ac:dyDescent="0.3">
      <c r="A29" s="5">
        <f t="shared" si="0"/>
        <v>140</v>
      </c>
      <c r="B29" s="17" cm="1">
        <f t="array" ref="B29">BinomialCallPrice(A29,$B$4,$B$5,$B$7,$B$8,$B$10,$B$11, 0)</f>
        <v>35.694755164524011</v>
      </c>
      <c r="C29" s="17" cm="1">
        <f t="array" ref="C29">BinomialPutPrice(A29,$B$4,$B$5,$B$7,$B$8,$B$10,$B$11, 0)</f>
        <v>0.82186480212643032</v>
      </c>
      <c r="D29" s="17" cm="1">
        <f t="array" ref="D29">BinomialCallPrice(A29,$B$4,$B$5,$B$7,$B$8,$B$10,$B$11, 1)</f>
        <v>40</v>
      </c>
      <c r="E29" s="17" cm="1">
        <f t="array" ref="E29">BinomialPutPrice(A29,$B$4,$B$5,$B$7,$B$8,$B$10,$B$11, 1)</f>
        <v>0.82186480212643032</v>
      </c>
      <c r="G29" s="17" cm="1">
        <f t="array" ref="G29">BinomialDeltaCall(A29,$B$4,$B$5,$B$7,$B$8,$B$10,$B$11, 0)</f>
        <v>0.93974681602591847</v>
      </c>
      <c r="H29" s="17" cm="1">
        <f t="array" ref="H29">BinomialDeltaPut(A29,$B$4,$B$5,$B$7,$B$8,$B$10,$B$11, 0)</f>
        <v>-6.0253183974074455E-2</v>
      </c>
      <c r="I29" s="17" cm="1">
        <f t="array" ref="I29">BinomialDeltaCall(A29,$B$4,$B$5,$B$7,$B$8,$B$10,$B$11, 1)</f>
        <v>1.000000000000004</v>
      </c>
      <c r="J29" s="17" cm="1">
        <f t="array" ref="J29">BinomialDeltaPut(A29,$B$4,$B$5,$B$7,$B$8,$B$10,$B$11, 1)</f>
        <v>-2.0938768749757013E-2</v>
      </c>
      <c r="L29" s="17" cm="1">
        <f t="array" ref="L29">FrontiereExerciceCall(A29,$B$4,D29)</f>
        <v>1</v>
      </c>
      <c r="M29" s="17" cm="1">
        <f t="array" ref="M29">FrontiereExercicePut(A29,$B$4,E29)</f>
        <v>0</v>
      </c>
    </row>
    <row r="30" spans="1:13" x14ac:dyDescent="0.3">
      <c r="A30" s="5">
        <f t="shared" si="0"/>
        <v>150</v>
      </c>
      <c r="B30" s="17" cm="1">
        <f t="array" ref="B30">BinomialCallPrice(A30,$B$4,$B$5,$B$7,$B$8,$B$10,$B$11, 0)</f>
        <v>45.241115102464953</v>
      </c>
      <c r="C30" s="17" cm="1">
        <f t="array" ref="C30">BinomialPutPrice(A30,$B$4,$B$5,$B$7,$B$8,$B$10,$B$11, 0)</f>
        <v>0.36822474006745404</v>
      </c>
      <c r="D30" s="17" cm="1">
        <f t="array" ref="D30">BinomialCallPrice(A30,$B$4,$B$5,$B$7,$B$8,$B$10,$B$11, 1)</f>
        <v>50</v>
      </c>
      <c r="E30" s="17" cm="1">
        <f t="array" ref="E30">BinomialPutPrice(A30,$B$4,$B$5,$B$7,$B$8,$B$10,$B$11, 1)</f>
        <v>0.36822474006745404</v>
      </c>
      <c r="G30" s="17" cm="1">
        <f t="array" ref="G30">BinomialDeltaCall(A30,$B$4,$B$5,$B$7,$B$8,$B$10,$B$11, 0)</f>
        <v>0.97148676055903616</v>
      </c>
      <c r="H30" s="17" cm="1">
        <f t="array" ref="H30">BinomialDeltaPut(A30,$B$4,$B$5,$B$7,$B$8,$B$10,$B$11, 0)</f>
        <v>-2.8513239440963272E-2</v>
      </c>
      <c r="I30" s="17" cm="1">
        <f t="array" ref="I30">BinomialDeltaCall(A30,$B$4,$B$5,$B$7,$B$8,$B$10,$B$11, 1)</f>
        <v>1</v>
      </c>
      <c r="J30" s="17" cm="1">
        <f t="array" ref="J30">BinomialDeltaPut(A30,$B$4,$B$5,$B$7,$B$8,$B$10,$B$11, 1)</f>
        <v>-8.6919740552054425E-3</v>
      </c>
      <c r="L30" s="17" cm="1">
        <f t="array" ref="L30">FrontiereExerciceCall(A30,$B$4,D30)</f>
        <v>1</v>
      </c>
      <c r="M30" s="17" cm="1">
        <f t="array" ref="M30">FrontiereExercicePut(A30,$B$4,E30)</f>
        <v>0</v>
      </c>
    </row>
  </sheetData>
  <dataValidations count="7">
    <dataValidation type="whole" operator="greaterThan" allowBlank="1" showInputMessage="1" showErrorMessage="1" errorTitle="Error :" error="Binomial Steps must be a strictly positive integer" promptTitle="Warning " prompt="Binomial Steps must be a strictly positive integer" sqref="B10" xr:uid="{E94BFF1D-CE32-4372-BBF7-3085E4187BC7}">
      <formula1>0</formula1>
    </dataValidation>
    <dataValidation type="date" operator="greaterThanOrEqual" allowBlank="1" showInputMessage="1" showErrorMessage="1" promptTitle="Warning" prompt="If the cell is empty, today's date will be used by default" sqref="B11" xr:uid="{6DEEA922-EFFE-4D43-B6CE-7B444F1661B2}">
      <formula1>1</formula1>
    </dataValidation>
    <dataValidation type="decimal" operator="greaterThan" allowBlank="1" showInputMessage="1" showErrorMessage="1" errorTitle="Error :" error="Maturity must be strictly positive" promptTitle="Warning" prompt="Maturity must be strictly positive" sqref="B5" xr:uid="{0EEA45BD-3DEB-4EB5-9786-2DF5914F4012}">
      <formula1>0</formula1>
    </dataValidation>
    <dataValidation type="decimal" operator="greaterThan" allowBlank="1" showInputMessage="1" showErrorMessage="1" errorTitle="Error :" error="Strike price must be strictly positive" promptTitle="Warning" prompt="Strike price must be strictly positive" sqref="B4" xr:uid="{5F3CA7BA-F1AF-4DEA-B18D-93FD1A527FEA}">
      <formula1>0</formula1>
    </dataValidation>
    <dataValidation type="decimal" operator="greaterThan" allowBlank="1" showInputMessage="1" showErrorMessage="1" errorTitle="Error :" error="Underlying price must be strictly positive" promptTitle="Warning" prompt="Underlying price must be strictly positive" sqref="B3 A20:A30" xr:uid="{C699CDA5-3591-419F-A00D-744CAEFC2188}">
      <formula1>0</formula1>
    </dataValidation>
    <dataValidation type="decimal" operator="greaterThanOrEqual" allowBlank="1" showInputMessage="1" showErrorMessage="1" errorTitle="Error : " error="Volatility must be strictly positive" promptTitle="Warning" prompt="Volatility must be strictly positive" sqref="B7" xr:uid="{4AD34CCC-AC6D-4E0C-A5F9-EB1326A5CC23}">
      <formula1>0</formula1>
    </dataValidation>
    <dataValidation type="date" operator="greaterThanOrEqual" allowBlank="1" showInputMessage="1" showErrorMessage="1" sqref="C10:C12 C3:C8" xr:uid="{F77467E8-2244-4650-ABEE-D9D01F470A8E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ActualiserToutesLesCellules">
                <anchor moveWithCells="1" sizeWithCells="1">
                  <from>
                    <xdr:col>3</xdr:col>
                    <xdr:colOff>777240</xdr:colOff>
                    <xdr:row>3</xdr:row>
                    <xdr:rowOff>0</xdr:rowOff>
                  </from>
                  <to>
                    <xdr:col>6</xdr:col>
                    <xdr:colOff>784860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8AA19-4963-488F-B9E3-46E2DA9C870D}">
  <sheetPr codeName="Feuil5"/>
  <dimension ref="A1:K15"/>
  <sheetViews>
    <sheetView workbookViewId="0">
      <selection activeCell="G17" sqref="G17"/>
    </sheetView>
  </sheetViews>
  <sheetFormatPr baseColWidth="10" defaultRowHeight="14.4" x14ac:dyDescent="0.3"/>
  <cols>
    <col min="1" max="1" width="19.77734375" bestFit="1" customWidth="1"/>
    <col min="2" max="2" width="17" customWidth="1"/>
  </cols>
  <sheetData>
    <row r="1" spans="1:11" ht="25.8" x14ac:dyDescent="0.5">
      <c r="A1" s="45" t="s">
        <v>48</v>
      </c>
      <c r="B1" s="37"/>
      <c r="C1" s="37"/>
      <c r="D1" s="37"/>
      <c r="E1" s="37"/>
      <c r="F1" s="37"/>
      <c r="G1" s="37"/>
      <c r="H1" s="37"/>
      <c r="I1" s="37"/>
      <c r="J1" s="37"/>
      <c r="K1" s="39"/>
    </row>
    <row r="2" spans="1:11" ht="18" x14ac:dyDescent="0.35">
      <c r="A2" s="44" t="s">
        <v>16</v>
      </c>
      <c r="B2" s="19"/>
      <c r="C2" s="20"/>
      <c r="D2" s="41"/>
      <c r="E2" s="42" t="s">
        <v>36</v>
      </c>
      <c r="F2" s="19"/>
      <c r="G2" s="41"/>
      <c r="H2" s="43"/>
      <c r="I2" s="42" t="s">
        <v>37</v>
      </c>
      <c r="J2" s="19"/>
      <c r="K2" s="20"/>
    </row>
    <row r="3" spans="1:11" ht="15.6" x14ac:dyDescent="0.3">
      <c r="A3" s="72" t="s">
        <v>17</v>
      </c>
      <c r="B3" s="5">
        <v>100</v>
      </c>
      <c r="C3" s="71"/>
      <c r="D3" s="8"/>
      <c r="E3" s="74"/>
      <c r="F3" s="15"/>
      <c r="G3" s="73" t="s">
        <v>23</v>
      </c>
      <c r="H3" s="69" t="s">
        <v>13</v>
      </c>
      <c r="I3" s="69" t="s">
        <v>24</v>
      </c>
      <c r="J3" s="69" t="s">
        <v>25</v>
      </c>
      <c r="K3" s="69" t="s">
        <v>14</v>
      </c>
    </row>
    <row r="4" spans="1:11" ht="15.6" x14ac:dyDescent="0.3">
      <c r="A4" s="70" t="s">
        <v>18</v>
      </c>
      <c r="B4" s="5">
        <v>100</v>
      </c>
      <c r="C4" s="71"/>
      <c r="D4" s="1" t="s">
        <v>9</v>
      </c>
      <c r="E4" s="17" cm="1">
        <f t="array" ref="E4">MonteCarloCallPrice(B3,B4,B5,B7,B8,B10,B11,B12, 0)</f>
        <v>20.598053452345614</v>
      </c>
      <c r="F4" s="81"/>
      <c r="G4" s="17" cm="1">
        <f t="array" ref="G4">MonteCarloDeltaCall(B3,B4,B5,B7,B8,B10,B11,B12, 0)</f>
        <v>0.75115784923982432</v>
      </c>
      <c r="H4" s="17" cm="1">
        <f t="array" ref="H4">MonteCarloGamma(B3,B4,B5,B7,B8,B10,B11,B12, 0)</f>
        <v>5.1648177470099199E-2</v>
      </c>
      <c r="I4" s="17" cm="1">
        <f t="array" ref="I4">MonteCarloThetaCall(B3,B4,B5,B7,B8,B10,B11,B12, 0)</f>
        <v>13.133615444783313</v>
      </c>
      <c r="J4" s="17" cm="1">
        <f t="array" ref="J4">MonteCarloRhoCall(B3,B4,B5,B7,B8,B10,B11,B12, 0)</f>
        <v>56.572530233820473</v>
      </c>
      <c r="K4" s="17" cm="1">
        <f t="array" ref="K4">MonteCarloVega(B3,B4,B5,B7,B8,B10,B11,B12, 0)</f>
        <v>101.78741966474351</v>
      </c>
    </row>
    <row r="5" spans="1:11" ht="15.6" x14ac:dyDescent="0.3">
      <c r="A5" s="70" t="s">
        <v>19</v>
      </c>
      <c r="B5" s="5">
        <v>1</v>
      </c>
      <c r="C5" s="71"/>
      <c r="D5" s="10"/>
      <c r="E5" s="2"/>
      <c r="F5" s="12"/>
      <c r="G5" s="2"/>
      <c r="H5" s="2"/>
      <c r="I5" s="2"/>
      <c r="J5" s="2"/>
      <c r="K5" s="12"/>
    </row>
    <row r="6" spans="1:11" ht="15.6" x14ac:dyDescent="0.3">
      <c r="A6" s="70" t="s">
        <v>32</v>
      </c>
      <c r="B6" s="49" t="str">
        <f>HYPERLINK("#Rate!A1", "Rate Data")</f>
        <v>Rate Data</v>
      </c>
      <c r="C6" s="71"/>
      <c r="D6" s="1" t="s">
        <v>10</v>
      </c>
      <c r="E6" s="17" cm="1">
        <f t="array" ref="E6">MonteCarloPutPrice(B3,B4,B5,B7,B8,B10,B11,B12, 0)</f>
        <v>4.2305137543068012</v>
      </c>
      <c r="F6" s="81"/>
      <c r="G6" s="17" cm="1">
        <f t="array" ref="G6">MonteCarloDeltaPut(B3,B4,B5,B7,B8,B10,B11,B12, 0)</f>
        <v>-0.36418655349299733</v>
      </c>
      <c r="H6" s="81"/>
      <c r="I6" s="17" cm="1">
        <f t="array" ref="I6">MonteCarloThetaPut(B3,B4,B5,B7,B8,B10,B11,B12, 0)</f>
        <v>1.197148806712538</v>
      </c>
      <c r="J6" s="17" cm="1">
        <f t="array" ref="J6">MonteCarloRhoPut(B3,B4,B5,B7,B8,B10,B11,B12, 0)</f>
        <v>-37.715020155862256</v>
      </c>
      <c r="K6" s="81"/>
    </row>
    <row r="7" spans="1:11" ht="15.6" x14ac:dyDescent="0.3">
      <c r="A7" s="70" t="s">
        <v>21</v>
      </c>
      <c r="B7" s="6">
        <v>0.2</v>
      </c>
      <c r="C7" s="71"/>
      <c r="D7" s="10"/>
      <c r="E7" s="2"/>
      <c r="F7" s="12"/>
      <c r="G7" s="2"/>
      <c r="H7" s="2"/>
      <c r="I7" s="2"/>
      <c r="J7" s="2"/>
      <c r="K7" s="12"/>
    </row>
    <row r="8" spans="1:11" ht="15.6" x14ac:dyDescent="0.3">
      <c r="A8" s="65" t="s">
        <v>22</v>
      </c>
      <c r="B8" s="6">
        <v>0</v>
      </c>
      <c r="C8" s="71"/>
      <c r="D8" s="16"/>
      <c r="E8" s="13"/>
      <c r="F8" s="9"/>
      <c r="G8" s="2"/>
      <c r="H8" s="2"/>
      <c r="I8" s="2"/>
      <c r="J8" s="2"/>
      <c r="K8" s="12"/>
    </row>
    <row r="9" spans="1:11" ht="18" x14ac:dyDescent="0.35">
      <c r="A9" s="44" t="s">
        <v>49</v>
      </c>
      <c r="B9" s="80"/>
      <c r="C9" s="20"/>
      <c r="D9" s="75"/>
      <c r="E9" s="76" t="s">
        <v>38</v>
      </c>
      <c r="F9" s="77"/>
      <c r="G9" s="75"/>
      <c r="H9" s="78"/>
      <c r="I9" s="76" t="s">
        <v>39</v>
      </c>
      <c r="J9" s="77"/>
      <c r="K9" s="79"/>
    </row>
    <row r="10" spans="1:11" ht="15.6" x14ac:dyDescent="0.3">
      <c r="A10" s="72" t="s">
        <v>8</v>
      </c>
      <c r="B10" s="5">
        <v>10</v>
      </c>
      <c r="C10" s="71"/>
      <c r="D10" s="8"/>
      <c r="E10" s="74"/>
      <c r="F10" s="15"/>
      <c r="G10" s="73" t="s">
        <v>23</v>
      </c>
      <c r="H10" s="69" t="s">
        <v>13</v>
      </c>
      <c r="I10" s="69" t="s">
        <v>24</v>
      </c>
      <c r="J10" s="69" t="s">
        <v>25</v>
      </c>
      <c r="K10" s="69" t="s">
        <v>14</v>
      </c>
    </row>
    <row r="11" spans="1:11" ht="15.6" x14ac:dyDescent="0.3">
      <c r="A11" s="70" t="s">
        <v>3</v>
      </c>
      <c r="B11" s="5">
        <v>365</v>
      </c>
      <c r="C11" s="71"/>
      <c r="D11" s="1" t="s">
        <v>9</v>
      </c>
      <c r="E11" s="17" cm="1">
        <f t="array" ref="E11">MonteCarloCallPrice(B3,B4,B5,B7,B8,B10,B11,B12, 1)</f>
        <v>21.765136674921415</v>
      </c>
      <c r="F11" s="81"/>
      <c r="G11" s="17" cm="1">
        <f t="array" ref="G11">MonteCarloDeltaCall(B3,B4,B5,B7,B8,B10,B11,B12, 1)</f>
        <v>0.8595605552925587</v>
      </c>
      <c r="H11" s="17" cm="1">
        <f t="array" ref="H11">MonteCarloGamma(B3,B4,B5,B7,B8,B10,B11,B12, 1)</f>
        <v>-0.33536798572169246</v>
      </c>
      <c r="I11" s="17" cm="1">
        <f t="array" ref="I11">MonteCarloThetaCall(B3,B4,B5,B7,B8,B10,B11,B12, 1)</f>
        <v>-20.448780246892664</v>
      </c>
      <c r="J11" s="17" cm="1">
        <f t="array" ref="J11">MonteCarloRhoCall(B3,B4,B5,B7,B8,B10,B11,B12, 1)</f>
        <v>53.971597398822624</v>
      </c>
      <c r="K11" s="17" cm="1">
        <f t="array" ref="K11">MonteCarloVega(B3,B4,B5,B7,B8,B10,B11,B12, 1)</f>
        <v>101.11803475383194</v>
      </c>
    </row>
    <row r="12" spans="1:11" ht="15.6" x14ac:dyDescent="0.3">
      <c r="A12" s="70" t="s">
        <v>6</v>
      </c>
      <c r="B12" s="28">
        <v>45724</v>
      </c>
      <c r="C12" s="71"/>
      <c r="D12" s="10"/>
      <c r="E12" s="2"/>
      <c r="F12" s="2"/>
      <c r="G12" s="2"/>
      <c r="H12" s="2"/>
      <c r="I12" s="2"/>
      <c r="J12" s="2"/>
      <c r="K12" s="12"/>
    </row>
    <row r="13" spans="1:11" ht="15.6" x14ac:dyDescent="0.3">
      <c r="A13" s="72"/>
      <c r="B13" s="13"/>
      <c r="C13" s="9"/>
      <c r="D13" s="1" t="s">
        <v>10</v>
      </c>
      <c r="E13" s="17" cm="1">
        <f t="array" ref="E13">MonteCarloPutPrice(B3,B4,B5,B7,B8,B10,B11,B12, 1)</f>
        <v>5.0076276740114292</v>
      </c>
      <c r="F13" s="81"/>
      <c r="G13" s="17" cm="1">
        <f t="array" ref="G13">MonteCarloDeltaPut(B3,B4,B5,B7,B8,B10,B11,B12, 1)</f>
        <v>-0.36551763458066011</v>
      </c>
      <c r="H13" s="81"/>
      <c r="I13" s="17" cm="1">
        <f t="array" ref="I13">MonteCarloThetaPut(B3,B4,B5,B7,B8,B10,B11,B12, 1)</f>
        <v>72.152878579916262</v>
      </c>
      <c r="J13" s="17" cm="1">
        <f t="array" ref="J13">MonteCarloRhoPut(B3,B4,B5,B7,B8,B10,B11,B12, 1)</f>
        <v>133.12058866945796</v>
      </c>
      <c r="K13" s="81"/>
    </row>
    <row r="14" spans="1:11" ht="15.6" x14ac:dyDescent="0.3">
      <c r="A14" s="64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3">
      <c r="A15" s="68" t="s">
        <v>45</v>
      </c>
      <c r="B15" s="2"/>
      <c r="C15" s="2"/>
      <c r="D15" s="2"/>
      <c r="E15" s="2"/>
      <c r="F15" s="2"/>
      <c r="G15" s="2"/>
      <c r="H15" s="2"/>
      <c r="I15" s="2"/>
      <c r="J15" s="2"/>
      <c r="K15" s="2"/>
    </row>
  </sheetData>
  <dataValidations count="8">
    <dataValidation type="date" operator="greaterThanOrEqual" allowBlank="1" showInputMessage="1" showErrorMessage="1" sqref="C10:C12 C3:C8" xr:uid="{57578561-BF50-4BA6-AE5F-2E190E9D4F26}">
      <formula1>1</formula1>
    </dataValidation>
    <dataValidation type="decimal" operator="greaterThanOrEqual" allowBlank="1" showInputMessage="1" showErrorMessage="1" errorTitle="Error : " error="Volatility must be strictly positive" promptTitle="Warning" prompt="Volatility must be strictly positive" sqref="B7" xr:uid="{6672F011-DBAB-4AFF-A498-C56283A3EEE9}">
      <formula1>0</formula1>
    </dataValidation>
    <dataValidation type="decimal" operator="greaterThan" allowBlank="1" showInputMessage="1" showErrorMessage="1" errorTitle="Error :" error="Underlying price must be strictly positive" promptTitle="Warning" prompt="Underlying price must be strictly positive" sqref="B3" xr:uid="{CF73E09B-1FFA-48FA-85C2-1C179177E17B}">
      <formula1>0</formula1>
    </dataValidation>
    <dataValidation type="decimal" operator="greaterThan" allowBlank="1" showInputMessage="1" showErrorMessage="1" errorTitle="Error :" error="Strike price must be strictly positive" promptTitle="Warning" prompt="Strike price must be strictly positive" sqref="B4" xr:uid="{AFC7DB34-AB54-472C-839B-BB2BE515220B}">
      <formula1>0</formula1>
    </dataValidation>
    <dataValidation type="decimal" operator="greaterThan" allowBlank="1" showInputMessage="1" showErrorMessage="1" errorTitle="Error :" error="Maturity must be strictly positive" promptTitle="Warning" prompt="Maturity must be strictly positive" sqref="B5" xr:uid="{797CC1D9-276F-4228-923E-DE8B3410FC4E}">
      <formula1>0</formula1>
    </dataValidation>
    <dataValidation type="date" operator="greaterThanOrEqual" allowBlank="1" showInputMessage="1" showErrorMessage="1" promptTitle="Warning" prompt="If the cell is empty, today's date will be used by default" sqref="B12" xr:uid="{AB4EA1B1-A8E7-4223-A328-773AC3F6927C}">
      <formula1>1</formula1>
    </dataValidation>
    <dataValidation type="whole" operator="greaterThan" allowBlank="1" showInputMessage="1" showErrorMessage="1" errorTitle="Error : " error="Simulation Number must be a strictly positive integer" promptTitle="Warning" prompt="Simulation Number must be a strictly positive integer" sqref="B10" xr:uid="{51275FE8-E43E-4151-B1CB-AD4D3B17DB6A}">
      <formula1>0</formula1>
    </dataValidation>
    <dataValidation type="whole" operator="greaterThan" allowBlank="1" showInputMessage="1" showErrorMessage="1" errorTitle="Error : " error="Time Steps must be a strictly positive integer" promptTitle="Warning" prompt="Time Steps must be a strictly positive integer" sqref="B11" xr:uid="{70BB11DA-975E-473D-A244-35B92B644F36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ctualiserToutesLesCellules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15</xdr:col>
                    <xdr:colOff>7620</xdr:colOff>
                    <xdr:row>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7B1F-7CC3-49A6-A755-A253853A9BC9}">
  <sheetPr codeName="Feuil8"/>
  <dimension ref="A1:M30"/>
  <sheetViews>
    <sheetView workbookViewId="0">
      <selection activeCell="F22" sqref="F22"/>
    </sheetView>
  </sheetViews>
  <sheetFormatPr baseColWidth="10" defaultRowHeight="14.4" x14ac:dyDescent="0.3"/>
  <cols>
    <col min="1" max="1" width="19.77734375" bestFit="1" customWidth="1"/>
  </cols>
  <sheetData>
    <row r="1" spans="1:7" ht="25.8" x14ac:dyDescent="0.5">
      <c r="A1" s="45" t="s">
        <v>48</v>
      </c>
      <c r="B1" s="37"/>
      <c r="C1" s="37"/>
      <c r="D1" s="2"/>
      <c r="E1" s="2"/>
      <c r="F1" s="2"/>
      <c r="G1" s="2"/>
    </row>
    <row r="2" spans="1:7" ht="18" x14ac:dyDescent="0.35">
      <c r="A2" s="44" t="s">
        <v>16</v>
      </c>
      <c r="B2" s="19"/>
      <c r="C2" s="20"/>
      <c r="D2" s="2"/>
      <c r="E2" s="2"/>
      <c r="F2" s="2"/>
      <c r="G2" s="2"/>
    </row>
    <row r="3" spans="1:7" ht="15.6" x14ac:dyDescent="0.3">
      <c r="A3" s="72" t="s">
        <v>17</v>
      </c>
      <c r="B3" s="5">
        <v>100</v>
      </c>
      <c r="C3" s="71"/>
      <c r="D3" s="2"/>
      <c r="E3" s="2"/>
      <c r="F3" s="2"/>
      <c r="G3" s="2"/>
    </row>
    <row r="4" spans="1:7" ht="15.6" x14ac:dyDescent="0.3">
      <c r="A4" s="70" t="s">
        <v>18</v>
      </c>
      <c r="B4" s="5">
        <v>100</v>
      </c>
      <c r="C4" s="71"/>
      <c r="D4" s="2"/>
      <c r="E4" s="2"/>
      <c r="F4" s="2"/>
      <c r="G4" s="2"/>
    </row>
    <row r="5" spans="1:7" ht="15.6" x14ac:dyDescent="0.3">
      <c r="A5" s="70" t="s">
        <v>19</v>
      </c>
      <c r="B5" s="5">
        <v>1</v>
      </c>
      <c r="C5" s="71"/>
      <c r="D5" s="2"/>
      <c r="E5" s="2"/>
      <c r="F5" s="2"/>
      <c r="G5" s="2"/>
    </row>
    <row r="6" spans="1:7" ht="15.6" x14ac:dyDescent="0.3">
      <c r="A6" s="70" t="s">
        <v>32</v>
      </c>
      <c r="B6" s="49" t="str">
        <f>HYPERLINK("#Rate!A1", "Rate Data")</f>
        <v>Rate Data</v>
      </c>
      <c r="C6" s="71"/>
      <c r="D6" s="2"/>
      <c r="E6" s="2"/>
      <c r="F6" s="2"/>
      <c r="G6" s="2"/>
    </row>
    <row r="7" spans="1:7" ht="15.6" x14ac:dyDescent="0.3">
      <c r="A7" s="70" t="s">
        <v>21</v>
      </c>
      <c r="B7" s="6">
        <v>0.2</v>
      </c>
      <c r="C7" s="71"/>
      <c r="D7" s="2"/>
      <c r="E7" s="2"/>
      <c r="F7" s="2"/>
      <c r="G7" s="2"/>
    </row>
    <row r="8" spans="1:7" ht="15.6" x14ac:dyDescent="0.3">
      <c r="A8" s="65" t="s">
        <v>22</v>
      </c>
      <c r="B8" s="6">
        <v>0</v>
      </c>
      <c r="C8" s="71"/>
      <c r="D8" s="2"/>
      <c r="E8" s="2"/>
      <c r="F8" s="2"/>
      <c r="G8" s="2"/>
    </row>
    <row r="9" spans="1:7" ht="18" x14ac:dyDescent="0.35">
      <c r="A9" s="44" t="s">
        <v>49</v>
      </c>
      <c r="B9" s="80"/>
      <c r="C9" s="20"/>
      <c r="D9" s="2"/>
      <c r="E9" s="2"/>
      <c r="F9" s="2"/>
      <c r="G9" s="2"/>
    </row>
    <row r="10" spans="1:7" ht="15.6" x14ac:dyDescent="0.3">
      <c r="A10" s="72" t="s">
        <v>8</v>
      </c>
      <c r="B10" s="5">
        <v>500</v>
      </c>
      <c r="C10" s="71"/>
      <c r="D10" s="2"/>
      <c r="E10" s="2"/>
      <c r="F10" s="2"/>
      <c r="G10" s="2"/>
    </row>
    <row r="11" spans="1:7" ht="15.6" x14ac:dyDescent="0.3">
      <c r="A11" s="70" t="s">
        <v>3</v>
      </c>
      <c r="B11" s="5">
        <v>365</v>
      </c>
      <c r="C11" s="71"/>
      <c r="D11" s="2"/>
      <c r="E11" s="2"/>
      <c r="F11" s="2"/>
      <c r="G11" s="2"/>
    </row>
    <row r="12" spans="1:7" ht="15.6" x14ac:dyDescent="0.3">
      <c r="A12" s="70" t="s">
        <v>6</v>
      </c>
      <c r="B12" s="28">
        <v>45724</v>
      </c>
      <c r="C12" s="71"/>
      <c r="D12" s="2"/>
      <c r="E12" s="2"/>
      <c r="F12" s="2"/>
      <c r="G12" s="2"/>
    </row>
    <row r="13" spans="1:7" ht="15.6" x14ac:dyDescent="0.3">
      <c r="A13" s="72"/>
      <c r="B13" s="13"/>
      <c r="C13" s="9"/>
      <c r="D13" s="2"/>
      <c r="E13" s="2"/>
      <c r="F13" s="2"/>
      <c r="G13" s="2"/>
    </row>
    <row r="14" spans="1:7" ht="15.6" x14ac:dyDescent="0.3">
      <c r="A14" s="64"/>
      <c r="B14" s="2"/>
      <c r="C14" s="2"/>
      <c r="D14" s="2"/>
      <c r="E14" s="2"/>
      <c r="F14" s="2"/>
      <c r="G14" s="2"/>
    </row>
    <row r="15" spans="1:7" x14ac:dyDescent="0.3">
      <c r="A15" s="68" t="s">
        <v>45</v>
      </c>
      <c r="B15" s="2"/>
      <c r="C15" s="2"/>
      <c r="D15" s="2"/>
      <c r="E15" s="2"/>
      <c r="F15" s="2"/>
      <c r="G15" s="2"/>
    </row>
    <row r="17" spans="1:13" ht="25.8" x14ac:dyDescent="0.5">
      <c r="A17" s="33" t="s">
        <v>50</v>
      </c>
      <c r="B17" s="34"/>
      <c r="C17" s="35"/>
      <c r="D17" s="34"/>
      <c r="E17" s="35"/>
      <c r="G17" s="33" t="s">
        <v>51</v>
      </c>
      <c r="H17" s="35"/>
      <c r="I17" s="36"/>
      <c r="J17" s="35"/>
      <c r="L17" s="33" t="s">
        <v>54</v>
      </c>
      <c r="M17" s="35"/>
    </row>
    <row r="18" spans="1:13" ht="18" x14ac:dyDescent="0.35">
      <c r="A18" s="40" t="s">
        <v>16</v>
      </c>
      <c r="B18" s="44" t="s">
        <v>52</v>
      </c>
      <c r="C18" s="20"/>
      <c r="D18" s="87" t="s">
        <v>53</v>
      </c>
      <c r="E18" s="20"/>
      <c r="G18" s="44" t="s">
        <v>52</v>
      </c>
      <c r="H18" s="84"/>
      <c r="I18" s="87" t="s">
        <v>53</v>
      </c>
      <c r="J18" s="84"/>
      <c r="L18" s="44" t="s">
        <v>55</v>
      </c>
      <c r="M18" s="84"/>
    </row>
    <row r="19" spans="1:13" ht="15.6" x14ac:dyDescent="0.3">
      <c r="A19" s="1" t="s">
        <v>17</v>
      </c>
      <c r="B19" s="1" t="s">
        <v>56</v>
      </c>
      <c r="C19" s="1" t="s">
        <v>57</v>
      </c>
      <c r="D19" s="1" t="s">
        <v>58</v>
      </c>
      <c r="E19" s="1" t="s">
        <v>59</v>
      </c>
      <c r="G19" s="1" t="s">
        <v>11</v>
      </c>
      <c r="H19" s="1" t="s">
        <v>12</v>
      </c>
      <c r="I19" s="1" t="s">
        <v>11</v>
      </c>
      <c r="J19" s="1" t="s">
        <v>12</v>
      </c>
      <c r="L19" s="1" t="s">
        <v>9</v>
      </c>
      <c r="M19" s="1" t="s">
        <v>10</v>
      </c>
    </row>
    <row r="20" spans="1:13" x14ac:dyDescent="0.3">
      <c r="A20" s="5">
        <f>B3-50</f>
        <v>50</v>
      </c>
      <c r="B20" s="17" cm="1">
        <f t="array" ref="B20">MonteCarloCallPrice(A20,$B$4,$B$5,$B$7,$B$8,$B$10,$B$11,$B$12, 0)</f>
        <v>5.3242411148479857E-3</v>
      </c>
      <c r="C20" s="17" cm="1">
        <f t="array" ref="C20">MonteCarloPutPrice(A20,$B$4,$B$5,$B$7,$B$8,$B$10,$B$11,$B$12, 0)</f>
        <v>44.635911286369023</v>
      </c>
      <c r="D20" s="17" cm="1">
        <f t="array" ref="D20">MonteCarloCallPrice(A20,$B$4,$B$5,$B$7,$B$8,$B$10,$B$11,$B$12, 1)</f>
        <v>5.4581458595762142E-3</v>
      </c>
      <c r="E20" s="17" cm="1">
        <f t="array" ref="E20">MonteCarloPutPrice(A20,$B$4,$B$5,$B$7,$B$8,$B$10,$B$11,$B$12, 1)</f>
        <v>44.678344344104943</v>
      </c>
      <c r="G20" s="17" cm="1">
        <f t="array" ref="G20">MonteCarloDeltaCall(A20,$B$4,$B$5,$B$7,$B$8,$B$10,$B$11,$B$12, 0)</f>
        <v>3.9131608453060844E-3</v>
      </c>
      <c r="H20" s="17" cm="1">
        <f t="array" ref="H20">MonteCarloDeltaPut(A20,$B$4,$B$5,$B$7,$B$8,$B$10,$B$11,$B$12, 0)</f>
        <v>-1.0068131097544537</v>
      </c>
      <c r="I20" s="17" cm="1">
        <f t="array" ref="I20">MonteCarloDeltaCall(A20,$B$4,$B$5,$B$7,$B$8,$B$10,$B$11,$B$12, 1)</f>
        <v>3.7808534875693419E-3</v>
      </c>
      <c r="J20" s="17" cm="1">
        <f t="array" ref="J20">MonteCarloDeltaPut(A20,$B$4,$B$5,$B$7,$B$8,$B$10,$B$11,$B$12, 1)</f>
        <v>-1.006746482860521</v>
      </c>
      <c r="L20" s="17" cm="1">
        <f t="array" ref="L20">FrontiereExerciceCall(A20,$B$4,D20)</f>
        <v>0</v>
      </c>
      <c r="M20" s="17" cm="1">
        <f t="array" ref="M20">FrontiereExercicePut(A20,$B$4,E20)</f>
        <v>1</v>
      </c>
    </row>
    <row r="21" spans="1:13" x14ac:dyDescent="0.3">
      <c r="A21" s="5">
        <f>A20+10</f>
        <v>60</v>
      </c>
      <c r="B21" s="17" cm="1">
        <f t="array" ref="B21">MonteCarloCallPrice(A21,$B$4,$B$5,$B$7,$B$8,$B$10,$B$11,$B$12, 0)</f>
        <v>7.1515707505346596E-2</v>
      </c>
      <c r="C21" s="17" cm="1">
        <f t="array" ref="C21">MonteCarloPutPrice(A21,$B$4,$B$5,$B$7,$B$8,$B$10,$B$11,$B$12, 0)</f>
        <v>34.594840046761547</v>
      </c>
      <c r="D21" s="17" cm="1">
        <f t="array" ref="D21">MonteCarloCallPrice(A21,$B$4,$B$5,$B$7,$B$8,$B$10,$B$11,$B$12, 1)</f>
        <v>8.0407397103811326E-2</v>
      </c>
      <c r="E21" s="17" cm="1">
        <f t="array" ref="E21">MonteCarloPutPrice(A21,$B$4,$B$5,$B$7,$B$8,$B$10,$B$11,$B$12, 1)</f>
        <v>34.649554100492821</v>
      </c>
      <c r="G21" s="17" cm="1">
        <f t="array" ref="G21">MonteCarloDeltaCall(A21,$B$4,$B$5,$B$7,$B$8,$B$10,$B$11,$B$12, 0)</f>
        <v>1.3880848535121974E-2</v>
      </c>
      <c r="H21" s="17" cm="1">
        <f t="array" ref="H21">MonteCarloDeltaPut(A21,$B$4,$B$5,$B$7,$B$8,$B$10,$B$11,$B$12, 0)</f>
        <v>-0.99684542206466276</v>
      </c>
      <c r="I21" s="17" cm="1">
        <f t="array" ref="I21">MonteCarloDeltaCall(A21,$B$4,$B$5,$B$7,$B$8,$B$10,$B$11,$B$12, 1)</f>
        <v>9.7972029733110408E-3</v>
      </c>
      <c r="J21" s="17" cm="1">
        <f t="array" ref="J21">MonteCarloDeltaPut(A21,$B$4,$B$5,$B$7,$B$8,$B$10,$B$11,$B$12, 1)</f>
        <v>-0.99185673777305661</v>
      </c>
      <c r="L21" s="17" cm="1">
        <f t="array" ref="L21">FrontiereExerciceCall(A21,$B$4,D21)</f>
        <v>0</v>
      </c>
      <c r="M21" s="17" cm="1">
        <f t="array" ref="M21">FrontiereExercicePut(A21,$B$4,E21)</f>
        <v>1</v>
      </c>
    </row>
    <row r="22" spans="1:13" x14ac:dyDescent="0.3">
      <c r="A22" s="5">
        <f t="shared" ref="A22:A30" si="0">A21+10</f>
        <v>70</v>
      </c>
      <c r="B22" s="17" cm="1">
        <f t="array" ref="B22">MonteCarloCallPrice(A22,$B$4,$B$5,$B$7,$B$8,$B$10,$B$11,$B$12, 0)</f>
        <v>0.50611715084618281</v>
      </c>
      <c r="C22" s="17" cm="1">
        <f t="array" ref="C22">MonteCarloPutPrice(A22,$B$4,$B$5,$B$7,$B$8,$B$10,$B$11,$B$12, 0)</f>
        <v>24.922178784104418</v>
      </c>
      <c r="D22" s="17" cm="1">
        <f t="array" ref="D22">MonteCarloCallPrice(A22,$B$4,$B$5,$B$7,$B$8,$B$10,$B$11,$B$12, 1)</f>
        <v>0.54443009712927837</v>
      </c>
      <c r="E22" s="17" cm="1">
        <f t="array" ref="E22">MonteCarloPutPrice(A22,$B$4,$B$5,$B$7,$B$8,$B$10,$B$11,$B$12, 1)</f>
        <v>24.999900993028735</v>
      </c>
      <c r="G22" s="17" cm="1">
        <f t="array" ref="G22">MonteCarloDeltaCall(A22,$B$4,$B$5,$B$7,$B$8,$B$10,$B$11,$B$12, 0)</f>
        <v>9.4389248702727926E-2</v>
      </c>
      <c r="H22" s="17" cm="1">
        <f t="array" ref="H22">MonteCarloDeltaPut(A22,$B$4,$B$5,$B$7,$B$8,$B$10,$B$11,$B$12, 0)</f>
        <v>-0.91633702189709143</v>
      </c>
      <c r="I22" s="17" cm="1">
        <f t="array" ref="I22">MonteCarloDeltaCall(A22,$B$4,$B$5,$B$7,$B$8,$B$10,$B$11,$B$12, 1)</f>
        <v>9.3902865575686306E-2</v>
      </c>
      <c r="J22" s="17" cm="1">
        <f t="array" ref="J22">MonteCarloDeltaPut(A22,$B$4,$B$5,$B$7,$B$8,$B$10,$B$11,$B$12, 1)</f>
        <v>-0.92075657394920429</v>
      </c>
      <c r="L22" s="17" cm="1">
        <f t="array" ref="L22">FrontiereExerciceCall(A22,$B$4,D22)</f>
        <v>0</v>
      </c>
      <c r="M22" s="17" cm="1">
        <f t="array" ref="M22">FrontiereExercicePut(A22,$B$4,E22)</f>
        <v>1</v>
      </c>
    </row>
    <row r="23" spans="1:13" x14ac:dyDescent="0.3">
      <c r="A23" s="5">
        <f t="shared" si="0"/>
        <v>80</v>
      </c>
      <c r="B23" s="17" cm="1">
        <f t="array" ref="B23">MonteCarloCallPrice(A23,$B$4,$B$5,$B$7,$B$8,$B$10,$B$11,$B$12, 0)</f>
        <v>1.9984329190210854</v>
      </c>
      <c r="C23" s="17" cm="1">
        <f t="array" ref="C23">MonteCarloPutPrice(A23,$B$4,$B$5,$B$7,$B$8,$B$10,$B$11,$B$12, 0)</f>
        <v>16.307231846281329</v>
      </c>
      <c r="D23" s="17" cm="1">
        <f t="array" ref="D23">MonteCarloCallPrice(A23,$B$4,$B$5,$B$7,$B$8,$B$10,$B$11,$B$12, 1)</f>
        <v>2.1469219673931392</v>
      </c>
      <c r="E23" s="17" cm="1">
        <f t="array" ref="E23">MonteCarloPutPrice(A23,$B$4,$B$5,$B$7,$B$8,$B$10,$B$11,$B$12, 1)</f>
        <v>16.502092092597564</v>
      </c>
      <c r="G23" s="17" cm="1">
        <f t="array" ref="G23">MonteCarloDeltaCall(A23,$B$4,$B$5,$B$7,$B$8,$B$10,$B$11,$B$12, 0)</f>
        <v>0.22525619629660043</v>
      </c>
      <c r="H23" s="17" cm="1">
        <f t="array" ref="H23">MonteCarloDeltaPut(A23,$B$4,$B$5,$B$7,$B$8,$B$10,$B$11,$B$12, 0)</f>
        <v>-0.78547007430317617</v>
      </c>
      <c r="I23" s="17" cm="1">
        <f t="array" ref="I23">MonteCarloDeltaCall(A23,$B$4,$B$5,$B$7,$B$8,$B$10,$B$11,$B$12, 1)</f>
        <v>0.25725156163780943</v>
      </c>
      <c r="J23" s="17" cm="1">
        <f t="array" ref="J23">MonteCarloDeltaPut(A23,$B$4,$B$5,$B$7,$B$8,$B$10,$B$11,$B$12, 1)</f>
        <v>-0.76531807258021556</v>
      </c>
      <c r="L23" s="17" cm="1">
        <f t="array" ref="L23">FrontiereExerciceCall(A23,$B$4,D23)</f>
        <v>0</v>
      </c>
      <c r="M23" s="17" cm="1">
        <f t="array" ref="M23">FrontiereExercicePut(A23,$B$4,E23)</f>
        <v>1</v>
      </c>
    </row>
    <row r="24" spans="1:13" x14ac:dyDescent="0.3">
      <c r="A24" s="5">
        <f t="shared" si="0"/>
        <v>90</v>
      </c>
      <c r="B24" s="17" cm="1">
        <f t="array" ref="B24">MonteCarloCallPrice(A24,$B$4,$B$5,$B$7,$B$8,$B$10,$B$11,$B$12, 0)</f>
        <v>5.318322851259536</v>
      </c>
      <c r="C24" s="17" cm="1">
        <f t="array" ref="C24">MonteCarloPutPrice(A24,$B$4,$B$5,$B$7,$B$8,$B$10,$B$11,$B$12, 0)</f>
        <v>9.5198590725218359</v>
      </c>
      <c r="D24" s="17" cm="1">
        <f t="array" ref="D24">MonteCarloCallPrice(A24,$B$4,$B$5,$B$7,$B$8,$B$10,$B$11,$B$12, 1)</f>
        <v>5.944936445405169</v>
      </c>
      <c r="E24" s="17" cm="1">
        <f t="array" ref="E24">MonteCarloPutPrice(A24,$B$4,$B$5,$B$7,$B$8,$B$10,$B$11,$B$12, 1)</f>
        <v>9.8264890532421649</v>
      </c>
      <c r="G24" s="17" cm="1">
        <f t="array" ref="G24">MonteCarloDeltaCall(A24,$B$4,$B$5,$B$7,$B$8,$B$10,$B$11,$B$12, 0)</f>
        <v>0.43221310360582765</v>
      </c>
      <c r="H24" s="17" cm="1">
        <f t="array" ref="H24">MonteCarloDeltaPut(A24,$B$4,$B$5,$B$7,$B$8,$B$10,$B$11,$B$12, 0)</f>
        <v>-0.57851316699397293</v>
      </c>
      <c r="I24" s="17" cm="1">
        <f t="array" ref="I24">MonteCarloDeltaCall(A24,$B$4,$B$5,$B$7,$B$8,$B$10,$B$11,$B$12, 1)</f>
        <v>0.42111082476009115</v>
      </c>
      <c r="J24" s="17" cm="1">
        <f t="array" ref="J24">MonteCarloDeltaPut(A24,$B$4,$B$5,$B$7,$B$8,$B$10,$B$11,$B$12, 1)</f>
        <v>-0.58634767597066917</v>
      </c>
      <c r="L24" s="17" cm="1">
        <f t="array" ref="L24">FrontiereExerciceCall(A24,$B$4,D24)</f>
        <v>0</v>
      </c>
      <c r="M24" s="17" cm="1">
        <f t="array" ref="M24">FrontiereExercicePut(A24,$B$4,E24)</f>
        <v>1</v>
      </c>
    </row>
    <row r="25" spans="1:13" x14ac:dyDescent="0.3">
      <c r="A25" s="5">
        <f t="shared" si="0"/>
        <v>100</v>
      </c>
      <c r="B25" s="17" cm="1">
        <f t="array" ref="B25">MonteCarloCallPrice(A25,$B$4,$B$5,$B$7,$B$8,$B$10,$B$11,$B$12, 0)</f>
        <v>10.841236913719539</v>
      </c>
      <c r="C25" s="17" cm="1">
        <f t="array" ref="C25">MonteCarloPutPrice(A25,$B$4,$B$5,$B$7,$B$8,$B$10,$B$11,$B$12, 0)</f>
        <v>4.9355104289838492</v>
      </c>
      <c r="D25" s="17" cm="1">
        <f t="array" ref="D25">MonteCarloCallPrice(A25,$B$4,$B$5,$B$7,$B$8,$B$10,$B$11,$B$12, 1)</f>
        <v>11.299073671432554</v>
      </c>
      <c r="E25" s="17" cm="1">
        <f t="array" ref="E25">MonteCarloPutPrice(A25,$B$4,$B$5,$B$7,$B$8,$B$10,$B$11,$B$12, 1)</f>
        <v>5.3942108616391007</v>
      </c>
      <c r="G25" s="17" cm="1">
        <f t="array" ref="G25">MonteCarloDeltaCall(A25,$B$4,$B$5,$B$7,$B$8,$B$10,$B$11,$B$12, 0)</f>
        <v>0.67603189930574281</v>
      </c>
      <c r="H25" s="17" cm="1">
        <f t="array" ref="H25">MonteCarloDeltaPut(A25,$B$4,$B$5,$B$7,$B$8,$B$10,$B$11,$B$12, 0)</f>
        <v>-0.33469437129405311</v>
      </c>
      <c r="I25" s="17" cm="1">
        <f t="array" ref="I25">MonteCarloDeltaCall(A25,$B$4,$B$5,$B$7,$B$8,$B$10,$B$11,$B$12, 1)</f>
        <v>0.59982156407666043</v>
      </c>
      <c r="J25" s="17" cm="1">
        <f t="array" ref="J25">MonteCarloDeltaPut(A25,$B$4,$B$5,$B$7,$B$8,$B$10,$B$11,$B$12, 1)</f>
        <v>-0.31070687420794885</v>
      </c>
      <c r="L25" s="17" cm="1">
        <f t="array" ref="L25">FrontiereExerciceCall(A25,$B$4,D25)</f>
        <v>0</v>
      </c>
      <c r="M25" s="17" cm="1">
        <f t="array" ref="M25">FrontiereExercicePut(A25,$B$4,E25)</f>
        <v>0</v>
      </c>
    </row>
    <row r="26" spans="1:13" x14ac:dyDescent="0.3">
      <c r="A26" s="5">
        <f t="shared" si="0"/>
        <v>110</v>
      </c>
      <c r="B26" s="17" cm="1">
        <f t="array" ref="B26">MonteCarloCallPrice(A26,$B$4,$B$5,$B$7,$B$8,$B$10,$B$11,$B$12, 0)</f>
        <v>18.468180905739935</v>
      </c>
      <c r="C26" s="17" cm="1">
        <f t="array" ref="C26">MonteCarloPutPrice(A26,$B$4,$B$5,$B$7,$B$8,$B$10,$B$11,$B$12, 0)</f>
        <v>2.4551917150062721</v>
      </c>
      <c r="D26" s="17" cm="1">
        <f t="array" ref="D26">MonteCarloCallPrice(A26,$B$4,$B$5,$B$7,$B$8,$B$10,$B$11,$B$12, 1)</f>
        <v>18.622590659875602</v>
      </c>
      <c r="E26" s="17" cm="1">
        <f t="array" ref="E26">MonteCarloPutPrice(A26,$B$4,$B$5,$B$7,$B$8,$B$10,$B$11,$B$12, 1)</f>
        <v>2.7887251974045992</v>
      </c>
      <c r="G26" s="17" cm="1">
        <f t="array" ref="G26">MonteCarloDeltaCall(A26,$B$4,$B$5,$B$7,$B$8,$B$10,$B$11,$B$12, 0)</f>
        <v>0.83723195403297324</v>
      </c>
      <c r="H26" s="17" cm="1">
        <f t="array" ref="H26">MonteCarloDeltaPut(A26,$B$4,$B$5,$B$7,$B$8,$B$10,$B$11,$B$12, 0)</f>
        <v>-0.17349431656681891</v>
      </c>
      <c r="I26" s="17" cm="1">
        <f t="array" ref="I26">MonteCarloDeltaCall(A26,$B$4,$B$5,$B$7,$B$8,$B$10,$B$11,$B$12, 1)</f>
        <v>0.78075865380205267</v>
      </c>
      <c r="J26" s="17" cm="1">
        <f t="array" ref="J26">MonteCarloDeltaPut(A26,$B$4,$B$5,$B$7,$B$8,$B$10,$B$11,$B$12, 1)</f>
        <v>-0.18207098476928169</v>
      </c>
      <c r="L26" s="17" cm="1">
        <f t="array" ref="L26">FrontiereExerciceCall(A26,$B$4,D26)</f>
        <v>0</v>
      </c>
      <c r="M26" s="17" cm="1">
        <f t="array" ref="M26">FrontiereExercicePut(A26,$B$4,E26)</f>
        <v>0</v>
      </c>
    </row>
    <row r="27" spans="1:13" x14ac:dyDescent="0.3">
      <c r="A27" s="5">
        <f t="shared" si="0"/>
        <v>120</v>
      </c>
      <c r="B27" s="17" cm="1">
        <f t="array" ref="B27">MonteCarloCallPrice(A27,$B$4,$B$5,$B$7,$B$8,$B$10,$B$11,$B$12, 0)</f>
        <v>27.27990928592088</v>
      </c>
      <c r="C27" s="17" cm="1">
        <f t="array" ref="C27">MonteCarloPutPrice(A27,$B$4,$B$5,$B$7,$B$8,$B$10,$B$11,$B$12, 0)</f>
        <v>1.1596573891892739</v>
      </c>
      <c r="D27" s="17" cm="1">
        <f t="array" ref="D27">MonteCarloCallPrice(A27,$B$4,$B$5,$B$7,$B$8,$B$10,$B$11,$B$12, 1)</f>
        <v>27.86186166169394</v>
      </c>
      <c r="E27" s="17" cm="1">
        <f t="array" ref="E27">MonteCarloPutPrice(A27,$B$4,$B$5,$B$7,$B$8,$B$10,$B$11,$B$12, 1)</f>
        <v>1.286561850212173</v>
      </c>
      <c r="G27" s="17" cm="1">
        <f t="array" ref="G27">MonteCarloDeltaCall(A27,$B$4,$B$5,$B$7,$B$8,$B$10,$B$11,$B$12, 0)</f>
        <v>0.91895719070021809</v>
      </c>
      <c r="H27" s="17" cm="1">
        <f t="array" ref="H27">MonteCarloDeltaPut(A27,$B$4,$B$5,$B$7,$B$8,$B$10,$B$11,$B$12, 0)</f>
        <v>-9.1769079899581829E-2</v>
      </c>
      <c r="I27" s="17" cm="1">
        <f t="array" ref="I27">MonteCarloDeltaCall(A27,$B$4,$B$5,$B$7,$B$8,$B$10,$B$11,$B$12, 1)</f>
        <v>0.49205243570002555</v>
      </c>
      <c r="J27" s="17" cm="1">
        <f t="array" ref="J27">MonteCarloDeltaPut(A27,$B$4,$B$5,$B$7,$B$8,$B$10,$B$11,$B$12, 1)</f>
        <v>-0.10848981364328122</v>
      </c>
      <c r="L27" s="17" cm="1">
        <f t="array" ref="L27">FrontiereExerciceCall(A27,$B$4,D27)</f>
        <v>0</v>
      </c>
      <c r="M27" s="17" cm="1">
        <f t="array" ref="M27">FrontiereExercicePut(A27,$B$4,E27)</f>
        <v>0</v>
      </c>
    </row>
    <row r="28" spans="1:13" x14ac:dyDescent="0.3">
      <c r="A28" s="5">
        <f t="shared" si="0"/>
        <v>130</v>
      </c>
      <c r="B28" s="17" cm="1">
        <f t="array" ref="B28">MonteCarloCallPrice(A28,$B$4,$B$5,$B$7,$B$8,$B$10,$B$11,$B$12, 0)</f>
        <v>36.740490866189205</v>
      </c>
      <c r="C28" s="17" cm="1">
        <f t="array" ref="C28">MonteCarloPutPrice(A28,$B$4,$B$5,$B$7,$B$8,$B$10,$B$11,$B$12, 0)</f>
        <v>0.51297626345961889</v>
      </c>
      <c r="D28" s="17" cm="1">
        <f t="array" ref="D28">MonteCarloCallPrice(A28,$B$4,$B$5,$B$7,$B$8,$B$10,$B$11,$B$12, 1)</f>
        <v>37.108596267657965</v>
      </c>
      <c r="E28" s="17" cm="1">
        <f t="array" ref="E28">MonteCarloPutPrice(A28,$B$4,$B$5,$B$7,$B$8,$B$10,$B$11,$B$12, 1)</f>
        <v>0.5618279575002707</v>
      </c>
      <c r="G28" s="17" cm="1">
        <f t="array" ref="G28">MonteCarloDeltaCall(A28,$B$4,$B$5,$B$7,$B$8,$B$10,$B$11,$B$12, 0)</f>
        <v>0.96765292125563618</v>
      </c>
      <c r="H28" s="17" cm="1">
        <f t="array" ref="H28">MonteCarloDeltaPut(A28,$B$4,$B$5,$B$7,$B$8,$B$10,$B$11,$B$12, 0)</f>
        <v>-4.3073349344196613E-2</v>
      </c>
      <c r="I28" s="17" cm="1">
        <f t="array" ref="I28">MonteCarloDeltaCall(A28,$B$4,$B$5,$B$7,$B$8,$B$10,$B$11,$B$12, 1)</f>
        <v>0.80792778401844267</v>
      </c>
      <c r="J28" s="17" cm="1">
        <f t="array" ref="J28">MonteCarloDeltaPut(A28,$B$4,$B$5,$B$7,$B$8,$B$10,$B$11,$B$12, 1)</f>
        <v>-4.504449525806048E-2</v>
      </c>
      <c r="L28" s="17" cm="1">
        <f t="array" ref="L28">FrontiereExerciceCall(A28,$B$4,D28)</f>
        <v>0</v>
      </c>
      <c r="M28" s="17" cm="1">
        <f t="array" ref="M28">FrontiereExercicePut(A28,$B$4,E28)</f>
        <v>0</v>
      </c>
    </row>
    <row r="29" spans="1:13" x14ac:dyDescent="0.3">
      <c r="A29" s="5">
        <f t="shared" si="0"/>
        <v>140</v>
      </c>
      <c r="B29" s="17" cm="1">
        <f t="array" ref="B29">MonteCarloCallPrice(A29,$B$4,$B$5,$B$7,$B$8,$B$10,$B$11,$B$12, 0)</f>
        <v>46.552816767780079</v>
      </c>
      <c r="C29" s="17" cm="1">
        <f t="array" ref="C29">MonteCarloPutPrice(A29,$B$4,$B$5,$B$7,$B$8,$B$10,$B$11,$B$12, 0)</f>
        <v>0.21803945905255584</v>
      </c>
      <c r="D29" s="17" cm="1">
        <f t="array" ref="D29">MonteCarloCallPrice(A29,$B$4,$B$5,$B$7,$B$8,$B$10,$B$11,$B$12, 1)</f>
        <v>48.432848630964138</v>
      </c>
      <c r="E29" s="17" cm="1">
        <f t="array" ref="E29">MonteCarloPutPrice(A29,$B$4,$B$5,$B$7,$B$8,$B$10,$B$11,$B$12, 1)</f>
        <v>0.24293492093003757</v>
      </c>
      <c r="G29" s="17" cm="1">
        <f t="array" ref="G29">MonteCarloDeltaCall(A29,$B$4,$B$5,$B$7,$B$8,$B$10,$B$11,$B$12, 0)</f>
        <v>0.99370670876563327</v>
      </c>
      <c r="H29" s="17" cm="1">
        <f t="array" ref="H29">MonteCarloDeltaPut(A29,$B$4,$B$5,$B$7,$B$8,$B$10,$B$11,$B$12, 0)</f>
        <v>-1.7019561834175998E-2</v>
      </c>
      <c r="I29" s="17" cm="1">
        <f t="array" ref="I29">MonteCarloDeltaCall(A29,$B$4,$B$5,$B$7,$B$8,$B$10,$B$11,$B$12, 1)</f>
        <v>0.54731244583828287</v>
      </c>
      <c r="J29" s="17" cm="1">
        <f t="array" ref="J29">MonteCarloDeltaPut(A29,$B$4,$B$5,$B$7,$B$8,$B$10,$B$11,$B$12, 1)</f>
        <v>-1.8561036378747685E-2</v>
      </c>
      <c r="L29" s="17" cm="1">
        <f t="array" ref="L29">FrontiereExerciceCall(A29,$B$4,D29)</f>
        <v>0</v>
      </c>
      <c r="M29" s="17" cm="1">
        <f t="array" ref="M29">FrontiereExercicePut(A29,$B$4,E29)</f>
        <v>0</v>
      </c>
    </row>
    <row r="30" spans="1:13" x14ac:dyDescent="0.3">
      <c r="A30" s="5">
        <f t="shared" si="0"/>
        <v>150</v>
      </c>
      <c r="B30" s="17" cm="1">
        <f t="array" ref="B30">MonteCarloCallPrice(A30,$B$4,$B$5,$B$7,$B$8,$B$10,$B$11,$B$12, 0)</f>
        <v>56.551083230467682</v>
      </c>
      <c r="C30" s="17" cm="1">
        <f t="array" ref="C30">MonteCarloPutPrice(A30,$B$4,$B$5,$B$7,$B$8,$B$10,$B$11,$B$12, 0)</f>
        <v>0.10904321574211924</v>
      </c>
      <c r="D30" s="17" cm="1">
        <f t="array" ref="D30">MonteCarloCallPrice(A30,$B$4,$B$5,$B$7,$B$8,$B$10,$B$11,$B$12, 1)</f>
        <v>56.764204512461724</v>
      </c>
      <c r="E30" s="17" cm="1">
        <f t="array" ref="E30">MonteCarloPutPrice(A30,$B$4,$B$5,$B$7,$B$8,$B$10,$B$11,$B$12, 1)</f>
        <v>0.12110928835721313</v>
      </c>
      <c r="G30" s="17" cm="1">
        <f t="array" ref="G30">MonteCarloDeltaCall(A30,$B$4,$B$5,$B$7,$B$8,$B$10,$B$11,$B$12, 0)</f>
        <v>1.0028991693062939</v>
      </c>
      <c r="H30" s="17" cm="1">
        <f t="array" ref="H30">MonteCarloDeltaPut(A30,$B$4,$B$5,$B$7,$B$8,$B$10,$B$11,$B$12, 0)</f>
        <v>-7.8271012934991863E-3</v>
      </c>
      <c r="I30" s="17" cm="1">
        <f t="array" ref="I30">MonteCarloDeltaCall(A30,$B$4,$B$5,$B$7,$B$8,$B$10,$B$11,$B$12, 1)</f>
        <v>1.1704658438185451</v>
      </c>
      <c r="J30" s="17" cm="1">
        <f t="array" ref="J30">MonteCarloDeltaPut(A30,$B$4,$B$5,$B$7,$B$8,$B$10,$B$11,$B$12, 1)</f>
        <v>-6.39574570954123E-3</v>
      </c>
      <c r="L30" s="17" cm="1">
        <f t="array" ref="L30">FrontiereExerciceCall(A30,$B$4,D30)</f>
        <v>0</v>
      </c>
      <c r="M30" s="17" cm="1">
        <f t="array" ref="M30">FrontiereExercicePut(A30,$B$4,E30)</f>
        <v>0</v>
      </c>
    </row>
  </sheetData>
  <dataValidations count="8">
    <dataValidation type="whole" operator="greaterThan" allowBlank="1" showInputMessage="1" showErrorMessage="1" errorTitle="Error : " error="Time Steps must be a strictly positive integer" promptTitle="Warning" prompt="Time Steps must be a strictly positive integer" sqref="B11" xr:uid="{E0C31F6D-33D0-46F6-8BE7-56287C4E6FA1}">
      <formula1>0</formula1>
    </dataValidation>
    <dataValidation type="whole" operator="greaterThan" allowBlank="1" showInputMessage="1" showErrorMessage="1" errorTitle="Error : " error="Simulation Number must be a strictly positive integer" promptTitle="Warning" prompt="Simulation Number must be a strictly positive integer" sqref="B10" xr:uid="{EA36F0F9-F5BA-44E9-8771-4449EF9CB04E}">
      <formula1>0</formula1>
    </dataValidation>
    <dataValidation type="date" operator="greaterThanOrEqual" allowBlank="1" showInputMessage="1" showErrorMessage="1" promptTitle="Warning" prompt="If the cell is empty, today's date will be used by default" sqref="B12" xr:uid="{4F99D7CA-7E2D-417C-9895-A770F7214CE1}">
      <formula1>1</formula1>
    </dataValidation>
    <dataValidation type="decimal" operator="greaterThan" allowBlank="1" showInputMessage="1" showErrorMessage="1" errorTitle="Error :" error="Maturity must be strictly positive" promptTitle="Warning" prompt="Maturity must be strictly positive" sqref="B5" xr:uid="{7FB5DE9F-10A6-4776-9941-94CEB697FCCB}">
      <formula1>0</formula1>
    </dataValidation>
    <dataValidation type="decimal" operator="greaterThan" allowBlank="1" showInputMessage="1" showErrorMessage="1" errorTitle="Error :" error="Strike price must be strictly positive" promptTitle="Warning" prompt="Strike price must be strictly positive" sqref="B4" xr:uid="{2DDFC1CB-A553-4895-9B67-62A406B22C89}">
      <formula1>0</formula1>
    </dataValidation>
    <dataValidation type="decimal" operator="greaterThan" allowBlank="1" showInputMessage="1" showErrorMessage="1" errorTitle="Error :" error="Underlying price must be strictly positive" promptTitle="Warning" prompt="Underlying price must be strictly positive" sqref="B3 A20:A30" xr:uid="{230180E9-ADEF-47FE-9A3F-2B9B36C82F48}">
      <formula1>0</formula1>
    </dataValidation>
    <dataValidation type="decimal" operator="greaterThanOrEqual" allowBlank="1" showInputMessage="1" showErrorMessage="1" errorTitle="Error : " error="Volatility must be strictly positive" promptTitle="Warning" prompt="Volatility must be strictly positive" sqref="B7" xr:uid="{C759DA59-9659-4CA3-B2F5-9DEEC460B005}">
      <formula1>0</formula1>
    </dataValidation>
    <dataValidation type="date" operator="greaterThanOrEqual" allowBlank="1" showInputMessage="1" showErrorMessage="1" sqref="C10:C12 C3:C8" xr:uid="{C6129B31-6329-4E87-A401-E3F220CA74BA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ActualiserToutesLesCellules">
                <anchor moveWithCells="1" sizeWithCells="1">
                  <from>
                    <xdr:col>3</xdr:col>
                    <xdr:colOff>434340</xdr:colOff>
                    <xdr:row>4</xdr:row>
                    <xdr:rowOff>7620</xdr:rowOff>
                  </from>
                  <to>
                    <xdr:col>6</xdr:col>
                    <xdr:colOff>441960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Rate</vt:lpstr>
      <vt:lpstr>B&amp;S</vt:lpstr>
      <vt:lpstr>B&amp;S Graphs</vt:lpstr>
      <vt:lpstr>CN</vt:lpstr>
      <vt:lpstr>CN Graphs</vt:lpstr>
      <vt:lpstr>BIN</vt:lpstr>
      <vt:lpstr>BIN Graphs</vt:lpstr>
      <vt:lpstr>MC</vt:lpstr>
      <vt:lpstr>MC 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shakil</dc:creator>
  <cp:lastModifiedBy>shakil rohimun</cp:lastModifiedBy>
  <dcterms:created xsi:type="dcterms:W3CDTF">2015-06-05T18:19:34Z</dcterms:created>
  <dcterms:modified xsi:type="dcterms:W3CDTF">2025-03-11T08:51:43Z</dcterms:modified>
</cp:coreProperties>
</file>